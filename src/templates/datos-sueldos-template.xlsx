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O REMUNERACIONES" sheetId="1" state="visible" r:id="rId3"/>
    <sheet name="L" sheetId="2" state="visible" r:id="rId4"/>
    <sheet name="Bono produccion" sheetId="3" state="visible" r:id="rId5"/>
    <sheet name="RetencionCredito CAJA" sheetId="4" state="visible" r:id="rId6"/>
    <sheet name="asignacion familiar" sheetId="5" state="visible" r:id="rId7"/>
  </sheets>
  <definedNames>
    <definedName function="false" hidden="true" localSheetId="1" name="_xlnm._FilterDatabase" vbProcedure="false">L!$A$5:$C$35</definedName>
    <definedName function="false" hidden="true" localSheetId="0" name="_xlnm._FilterDatabase" vbProcedure="false">'LIBRO REMUNERACIONES'!$A$5:$C$33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ms</author>
  </authors>
  <commentList>
    <comment ref="O1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ms:
</t>
        </r>
        <r>
          <rPr>
            <sz val="9"/>
            <color rgb="FF000000"/>
            <rFont val="Tahoma"/>
            <family val="2"/>
            <charset val="1"/>
          </rPr>
          <t xml:space="preserve">$250.000 Movilización y $250.000 Colación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ms</author>
  </authors>
  <commentList>
    <comment ref="O13" authorId="0">
      <text>
        <r>
          <rPr>
            <sz val="10"/>
            <rFont val="Arial"/>
            <family val="2"/>
          </rPr>
          <t xml:space="preserve">ms:
</t>
        </r>
        <r>
          <rPr>
            <sz val="9"/>
            <color rgb="FF000000"/>
            <rFont val="Tahoma"/>
            <family val="2"/>
            <charset val="1"/>
          </rPr>
          <t xml:space="preserve">$250.000 Movilización y $250.000 Colación</t>
        </r>
      </text>
    </comment>
  </commentList>
</comments>
</file>

<file path=xl/sharedStrings.xml><?xml version="1.0" encoding="utf-8"?>
<sst xmlns="http://schemas.openxmlformats.org/spreadsheetml/2006/main" count="751" uniqueCount="199">
  <si>
    <t xml:space="preserve">J. PASCUAL Y FAMILIA SPA</t>
  </si>
  <si>
    <t xml:space="preserve">79.939.910-5</t>
  </si>
  <si>
    <t xml:space="preserve">VITACURA #7482</t>
  </si>
  <si>
    <t xml:space="preserve">NOMBRE</t>
  </si>
  <si>
    <t xml:space="preserve">RUT</t>
  </si>
  <si>
    <t xml:space="preserve">C. COSTO</t>
  </si>
  <si>
    <t xml:space="preserve">INASISTENCIAS</t>
  </si>
  <si>
    <t xml:space="preserve">LICENCIAS</t>
  </si>
  <si>
    <t xml:space="preserve">MOTIVO</t>
  </si>
  <si>
    <t xml:space="preserve">HORAS EXTRAS</t>
  </si>
  <si>
    <t xml:space="preserve">AGUINALDO</t>
  </si>
  <si>
    <t xml:space="preserve">BONO PRODUCCION</t>
  </si>
  <si>
    <t xml:space="preserve">BONO  COMP,</t>
  </si>
  <si>
    <t xml:space="preserve">RECARGO DOMINGO</t>
  </si>
  <si>
    <t xml:space="preserve">BONO RESPONSABILIDAD</t>
  </si>
  <si>
    <t xml:space="preserve">MOVILIZACION</t>
  </si>
  <si>
    <t xml:space="preserve">ASIG. TELEFONO</t>
  </si>
  <si>
    <t xml:space="preserve">CAJA</t>
  </si>
  <si>
    <t xml:space="preserve">ANTICIPOS</t>
  </si>
  <si>
    <t xml:space="preserve">ANTICIPO AGUINALDO</t>
  </si>
  <si>
    <t xml:space="preserve">PTMO EMPRESA</t>
  </si>
  <si>
    <t xml:space="preserve">PRESTAMO CAJA</t>
  </si>
  <si>
    <t xml:space="preserve">BETANCOURT PAREZ JESUS</t>
  </si>
  <si>
    <t xml:space="preserve">25.289.035-1</t>
  </si>
  <si>
    <t xml:space="preserve">ADMINISTRACION</t>
  </si>
  <si>
    <t xml:space="preserve">HIGUERA MARQUEZ EGLIANY FLORISEL</t>
  </si>
  <si>
    <t xml:space="preserve">44.209.392-K</t>
  </si>
  <si>
    <t xml:space="preserve">VITACURA</t>
  </si>
  <si>
    <t xml:space="preserve">HUAYLLASCO GARCIA RAFAEL EDUAR</t>
  </si>
  <si>
    <t xml:space="preserve">24.946.599-2</t>
  </si>
  <si>
    <t xml:space="preserve">LOZADA LOPEZ BRENDA NAILIZ DEL VALLE</t>
  </si>
  <si>
    <t xml:space="preserve">44.283.078-9</t>
  </si>
  <si>
    <t xml:space="preserve">MEDINA  KEMBERLY</t>
  </si>
  <si>
    <t xml:space="preserve">33.531.708-4</t>
  </si>
  <si>
    <t xml:space="preserve">MOLERO LABRADOR CIRLENE CHIQUINQUIRA</t>
  </si>
  <si>
    <t xml:space="preserve">27.000.648-5</t>
  </si>
  <si>
    <t xml:space="preserve">PALMA HERNANDEZ JOSE MANUEL</t>
  </si>
  <si>
    <t xml:space="preserve">9.591.380-6</t>
  </si>
  <si>
    <t xml:space="preserve">PASCUAL RODRIGUEZ JOSE LUIS</t>
  </si>
  <si>
    <t xml:space="preserve">12.662.014-4</t>
  </si>
  <si>
    <t xml:space="preserve">POBLETE PEZOA FELIPE ANDRES</t>
  </si>
  <si>
    <t xml:space="preserve">13.704.164-2</t>
  </si>
  <si>
    <t xml:space="preserve">RAMIREZ CAñAZ KARIELYS</t>
  </si>
  <si>
    <t xml:space="preserve">27.543.699-2</t>
  </si>
  <si>
    <t xml:space="preserve">ROBLES LALANNE FERNANDO CRISTIAN</t>
  </si>
  <si>
    <t xml:space="preserve">14.418.374-6</t>
  </si>
  <si>
    <t xml:space="preserve">URCIA CHING SANDRO JESUS</t>
  </si>
  <si>
    <t xml:space="preserve">21.719.383-4</t>
  </si>
  <si>
    <t xml:space="preserve">MEDINA PERAZA GENESIS </t>
  </si>
  <si>
    <t xml:space="preserve">33.482.814-K</t>
  </si>
  <si>
    <t xml:space="preserve">CARREYO ARTEAGA MIGUEL EDUARDO </t>
  </si>
  <si>
    <t xml:space="preserve">33.201.509-5 </t>
  </si>
  <si>
    <t xml:space="preserve">ROSALES CARRILLO FRANCISCO EUSEBIO</t>
  </si>
  <si>
    <t xml:space="preserve">21.539.661-4 </t>
  </si>
  <si>
    <t xml:space="preserve">OSORIO MORALES MELIZA ALEXANDRA</t>
  </si>
  <si>
    <t xml:space="preserve">33.542.576-6</t>
  </si>
  <si>
    <t xml:space="preserve">SALGADO CASTRO MATIAS IGNACIO</t>
  </si>
  <si>
    <t xml:space="preserve">19.284.956-K</t>
  </si>
  <si>
    <t xml:space="preserve">GOMEZ PAVEZ JAVIER IGNACIO</t>
  </si>
  <si>
    <t xml:space="preserve">18.093.889-3</t>
  </si>
  <si>
    <t xml:space="preserve">SAEZ MENESES SANDY ELIANA</t>
  </si>
  <si>
    <t xml:space="preserve">18.497.539-4</t>
  </si>
  <si>
    <t xml:space="preserve">Renuncia 28-04-2026</t>
  </si>
  <si>
    <t xml:space="preserve">JARA PINO CAROLINA ANDREA</t>
  </si>
  <si>
    <t xml:space="preserve">13.676.224-9</t>
  </si>
  <si>
    <t xml:space="preserve">Licencia Medica del 31-03-2026 al 29-04-2026</t>
  </si>
  <si>
    <t xml:space="preserve">GONZALEZ HENRIQUEZ CLAUDIO ANDRES</t>
  </si>
  <si>
    <t xml:space="preserve">17.811.486-7</t>
  </si>
  <si>
    <t xml:space="preserve">JOSE LUIS BURGA TRUJILLO</t>
  </si>
  <si>
    <t xml:space="preserve">27.891.945-5</t>
  </si>
  <si>
    <t xml:space="preserve">STEFANO MELIS JIMENEZ</t>
  </si>
  <si>
    <t xml:space="preserve">17.177.230-3</t>
  </si>
  <si>
    <t xml:space="preserve">EMELINE FLAMAND</t>
  </si>
  <si>
    <t xml:space="preserve">28.405.174-2</t>
  </si>
  <si>
    <t xml:space="preserve">ARCHANA LOUIS </t>
  </si>
  <si>
    <t xml:space="preserve">28.214.714-9</t>
  </si>
  <si>
    <t xml:space="preserve">CAMILO SALVATIERRA VARGAS</t>
  </si>
  <si>
    <t xml:space="preserve">17.998.633-7</t>
  </si>
  <si>
    <t xml:space="preserve">ALEJANDRO GUERRA</t>
  </si>
  <si>
    <t xml:space="preserve">20.762.505-1</t>
  </si>
  <si>
    <t xml:space="preserve">MANUEL ALONSO CARRASCO VALENZUELA</t>
  </si>
  <si>
    <t xml:space="preserve">21.241.037-3</t>
  </si>
  <si>
    <t xml:space="preserve">JEREMIAS SEBASTIAN CANCINO MEZA</t>
  </si>
  <si>
    <t xml:space="preserve">20.967.297-9</t>
  </si>
  <si>
    <t xml:space="preserve">MANUEL ESTEBAN MEDINA PEREZ</t>
  </si>
  <si>
    <t xml:space="preserve">22.142.406-9</t>
  </si>
  <si>
    <t xml:space="preserve">Licencia medica por 12 dias desde el 24-02-2026 hasta el 07-03-2026</t>
  </si>
  <si>
    <t xml:space="preserve">Licencia medica por 30 dias desde el 01-03-2026 hasta el 31-03-2026</t>
  </si>
  <si>
    <t xml:space="preserve">BARBARA SOL RIVERA VALDIVIA</t>
  </si>
  <si>
    <t xml:space="preserve">18.169.756-3</t>
  </si>
  <si>
    <t xml:space="preserve">Renuncia 07-03-2026</t>
  </si>
  <si>
    <t xml:space="preserve">SANHUEZA FUENTES VALENTINA BELEN</t>
  </si>
  <si>
    <t xml:space="preserve">19.840.958-8</t>
  </si>
  <si>
    <t xml:space="preserve">Renuncia 13-03-2026</t>
  </si>
  <si>
    <t xml:space="preserve">Octubre</t>
  </si>
  <si>
    <t xml:space="preserve">Julio</t>
  </si>
  <si>
    <t xml:space="preserve">Agosto</t>
  </si>
  <si>
    <t xml:space="preserve">Septiembre</t>
  </si>
  <si>
    <t xml:space="preserve">Noviembre</t>
  </si>
  <si>
    <t xml:space="preserve">Diciembre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</si>
  <si>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</si>
  <si>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</si>
  <si>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</si>
  <si>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</si>
  <si>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</si>
  <si>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</si>
  <si>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Corr.</t>
  </si>
  <si>
    <t xml:space="preserve">R.U.T.
Beneficiario</t>
  </si>
  <si>
    <t xml:space="preserve">Nombre Beneficiario</t>
  </si>
  <si>
    <t xml:space="preserve">Producto</t>
  </si>
  <si>
    <t xml:space="preserve">Código</t>
  </si>
  <si>
    <t xml:space="preserve">Cuota</t>
  </si>
  <si>
    <t xml:space="preserve">Valor a
Descontar</t>
  </si>
  <si>
    <t xml:space="preserve">Total. Desc al
Beneficiario</t>
  </si>
  <si>
    <t xml:space="preserve">Columna
Informativa
Saldo Deuda</t>
  </si>
  <si>
    <t xml:space="preserve">Adiciones o
Rebajas
Abonos o Total
Deuda</t>
  </si>
  <si>
    <t xml:space="preserve">Obs.</t>
  </si>
  <si>
    <t xml:space="preserve">14.085.441-7</t>
  </si>
  <si>
    <t xml:space="preserve">MATUS HEIMPEL JUAN DAGOBERTO</t>
  </si>
  <si>
    <t xml:space="preserve">Crédito Social</t>
  </si>
  <si>
    <t xml:space="preserve">34.0332205-8</t>
  </si>
  <si>
    <t xml:space="preserve">19/36</t>
  </si>
  <si>
    <t xml:space="preserve">96.328</t>
  </si>
  <si>
    <t xml:space="preserve">179.439</t>
  </si>
  <si>
    <t xml:space="preserve">---------</t>
  </si>
  <si>
    <t xml:space="preserve"> </t>
  </si>
  <si>
    <t xml:space="preserve">34.0355959-7</t>
  </si>
  <si>
    <t xml:space="preserve">1/12</t>
  </si>
  <si>
    <t xml:space="preserve">83.111</t>
  </si>
  <si>
    <t xml:space="preserve">156.0015068-2</t>
  </si>
  <si>
    <t xml:space="preserve">4/48</t>
  </si>
  <si>
    <t xml:space="preserve">172.756</t>
  </si>
  <si>
    <t xml:space="preserve">189.0005138-3</t>
  </si>
  <si>
    <t xml:space="preserve">27/60</t>
  </si>
  <si>
    <t xml:space="preserve">23.0737244-7</t>
  </si>
  <si>
    <t xml:space="preserve">20/48</t>
  </si>
  <si>
    <t xml:space="preserve">38.0383047-8</t>
  </si>
  <si>
    <t xml:space="preserve">15/60</t>
  </si>
  <si>
    <t xml:space="preserve">168.0028773-5</t>
  </si>
  <si>
    <t xml:space="preserve">52/60</t>
  </si>
  <si>
    <t xml:space="preserve">59.164</t>
  </si>
  <si>
    <t xml:space="preserve">16.518.212-K</t>
  </si>
  <si>
    <t xml:space="preserve">REYES CHACON CARLOS ALEXANDER</t>
  </si>
  <si>
    <t xml:space="preserve">167.0050599-9</t>
  </si>
  <si>
    <t xml:space="preserve">5/12</t>
  </si>
  <si>
    <t xml:space="preserve">57.437</t>
  </si>
  <si>
    <t xml:space="preserve">21.539.661-4</t>
  </si>
  <si>
    <t xml:space="preserve">Seguro Vida</t>
  </si>
  <si>
    <t xml:space="preserve">10.0551909-4</t>
  </si>
  <si>
    <t xml:space="preserve">50/0</t>
  </si>
  <si>
    <t xml:space="preserve">78.694</t>
  </si>
  <si>
    <t xml:space="preserve">10.0847590-K</t>
  </si>
  <si>
    <t xml:space="preserve">23/23</t>
  </si>
  <si>
    <t xml:space="preserve">22.452.648-2</t>
  </si>
  <si>
    <t xml:space="preserve">SOLIS ORTIZ MARCELO</t>
  </si>
  <si>
    <t xml:space="preserve">24.0680845-1</t>
  </si>
  <si>
    <t xml:space="preserve">12/12</t>
  </si>
  <si>
    <t xml:space="preserve">54.903</t>
  </si>
  <si>
    <t xml:space="preserve">Rut Emp  </t>
  </si>
  <si>
    <t xml:space="preserve">D</t>
  </si>
  <si>
    <t xml:space="preserve">Razon Social                                                </t>
  </si>
  <si>
    <t xml:space="preserve">SucEmp</t>
  </si>
  <si>
    <t xml:space="preserve">Rut Afili</t>
  </si>
  <si>
    <t xml:space="preserve">d</t>
  </si>
  <si>
    <t xml:space="preserve">Nombre                        </t>
  </si>
  <si>
    <t xml:space="preserve">Rut Carga</t>
  </si>
  <si>
    <t xml:space="preserve">Nombre Carga                  </t>
  </si>
  <si>
    <t xml:space="preserve">Sx</t>
  </si>
  <si>
    <t xml:space="preserve">Pa</t>
  </si>
  <si>
    <t xml:space="preserve">Parentesco</t>
  </si>
  <si>
    <t xml:space="preserve">tipo Carga</t>
  </si>
  <si>
    <t xml:space="preserve">Vi</t>
  </si>
  <si>
    <t xml:space="preserve">F.Inicio  </t>
  </si>
  <si>
    <t xml:space="preserve">F.Vcmto   </t>
  </si>
  <si>
    <t xml:space="preserve">F.Derecho </t>
  </si>
  <si>
    <t xml:space="preserve">Tr</t>
  </si>
  <si>
    <t xml:space="preserve">JAVIER PASCUAL E HIJOS LIMITADA                             </t>
  </si>
  <si>
    <t xml:space="preserve">PALMA HERNANDEZ JOSE MANUEL   </t>
  </si>
  <si>
    <t xml:space="preserve">MARTINEZ ROJAS JACQUELINE DEL </t>
  </si>
  <si>
    <t xml:space="preserve">F </t>
  </si>
  <si>
    <t xml:space="preserve">Conyuge   </t>
  </si>
  <si>
    <t xml:space="preserve">CORRIENTE </t>
  </si>
  <si>
    <t xml:space="preserve">01/10/2021</t>
  </si>
  <si>
    <t xml:space="preserve">          </t>
  </si>
  <si>
    <t xml:space="preserve">29/03/1965</t>
  </si>
  <si>
    <t xml:space="preserve">B </t>
  </si>
  <si>
    <t xml:space="preserve">POBLETE PEZOA FELIPE ANDRES   </t>
  </si>
  <si>
    <t xml:space="preserve">POBLETE VIAFARA TOMAS FELIPE  </t>
  </si>
  <si>
    <t xml:space="preserve">M </t>
  </si>
  <si>
    <t xml:space="preserve">Hijo      </t>
  </si>
  <si>
    <t xml:space="preserve">25/07/2017</t>
  </si>
  <si>
    <t xml:space="preserve">31/12/2034</t>
  </si>
  <si>
    <t xml:space="preserve">07/04/2016</t>
  </si>
  <si>
    <t xml:space="preserve">C </t>
  </si>
  <si>
    <t xml:space="preserve">MOLERO LABRADOR CIRLENE CHIQUI</t>
  </si>
  <si>
    <t xml:space="preserve">RODRIGUEZ MOLERO EDIMAR CELINA</t>
  </si>
  <si>
    <t xml:space="preserve">01/03/2020</t>
  </si>
  <si>
    <t xml:space="preserve">31/12/2029</t>
  </si>
  <si>
    <t xml:space="preserve">14/10/2011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</si>
</sst>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 * #,##0_ ;_ * \-#,##0_ ;_ * \-_ ;_ @_ "/>
    <numFmt numFmtId="166" formatCode="#,##0"/>
    <numFmt numFmtId="167" formatCode="0"/>
    <numFmt numFmtId="168" formatCode="0.000%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26303C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A4C1E5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A4C1E5"/>
      </patternFill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4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5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3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8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[0] 10" xfId="20"/>
    <cellStyle name="Millares [0] 2" xfId="21"/>
    <cellStyle name="Millares [0] 38" xfId="22"/>
    <cellStyle name="Normal 2" xfId="23"/>
    <cellStyle name="Normal 3" xfId="24"/>
    <cellStyle name="Normal 3 2" xfId="25"/>
    <cellStyle name="Normal 3 3" xfId="26"/>
    <cellStyle name="Normal 3 4" xfId="27"/>
    <cellStyle name="Normal 4" xfId="28"/>
    <cellStyle name="Excel Built-in Comma [0]" xfId="29"/>
  </cellStyles>
  <dxfs count="4">
    <dxf>
      <fill>
        <patternFill patternType="solid">
          <fgColor rgb="FFA4C1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6303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1E5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0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9.1484375" defaultRowHeight="13.8" customHeight="false" zeroHeight="false" outlineLevelRow="0" outlineLevelCol="0"/>
  <cols>
    <col collapsed="false" customWidth="true" hidden="false" outlineLevel="0" max="1" min="1" style="0" width="43.57"/>
    <col collapsed="false" customWidth="true" hidden="false" outlineLevel="0" max="2" min="2" style="0" width="15.29"/>
    <col collapsed="false" customWidth="true" hidden="false" outlineLevel="0" max="3" min="3" style="0" width="17.57"/>
    <col collapsed="false" customWidth="true" hidden="false" outlineLevel="0" max="4" min="4" style="0" width="13.44"/>
    <col collapsed="false" customWidth="true" hidden="false" outlineLevel="0" max="5" min="5" style="0" width="14.96"/>
    <col collapsed="false" customWidth="true" hidden="false" outlineLevel="0" max="6" min="6" style="0" width="17.71"/>
    <col collapsed="false" customWidth="true" hidden="false" outlineLevel="0" max="7" min="7" style="0" width="14.14"/>
    <col collapsed="false" customWidth="true" hidden="false" outlineLevel="0" max="9" min="8" style="0" width="13.57"/>
    <col collapsed="false" customWidth="true" hidden="false" outlineLevel="0" max="10" min="10" style="0" width="19.14"/>
    <col collapsed="false" customWidth="true" hidden="true" outlineLevel="0" max="11" min="11" style="0" width="11.53"/>
    <col collapsed="false" customWidth="true" hidden="false" outlineLevel="0" max="12" min="12" style="0" width="13.42"/>
    <col collapsed="false" customWidth="true" hidden="false" outlineLevel="0" max="13" min="13" style="0" width="19.57"/>
    <col collapsed="false" customWidth="true" hidden="false" outlineLevel="0" max="14" min="14" style="0" width="23.57"/>
    <col collapsed="false" customWidth="true" hidden="false" outlineLevel="0" max="15" min="15" style="0" width="14.42"/>
    <col collapsed="false" customWidth="true" hidden="false" outlineLevel="0" max="16" min="16" style="0" width="15.42"/>
    <col collapsed="false" customWidth="true" hidden="false" outlineLevel="0" max="18" min="18" style="0" width="10.57"/>
    <col collapsed="false" customWidth="true" hidden="true" outlineLevel="0" max="19" min="19" style="0" width="21.29"/>
    <col collapsed="false" customWidth="true" hidden="false" outlineLevel="0" max="20" min="20" style="0" width="15.29"/>
    <col collapsed="false" customWidth="true" hidden="false" outlineLevel="0" max="22" min="21" style="0" width="15.71"/>
    <col collapsed="false" customWidth="true" hidden="false" outlineLevel="0" max="23" min="23" style="0" width="21.29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1" t="s">
        <v>1</v>
      </c>
      <c r="B2" s="1"/>
      <c r="F2" s="2"/>
      <c r="G2" s="2"/>
      <c r="H2" s="2"/>
      <c r="I2" s="2"/>
      <c r="J2" s="2"/>
      <c r="K2" s="2"/>
      <c r="L2" s="2"/>
      <c r="M2" s="2"/>
    </row>
    <row r="3" customFormat="false" ht="13.8" hidden="false" customHeight="false" outlineLevel="0" collapsed="false">
      <c r="A3" s="1" t="s">
        <v>2</v>
      </c>
      <c r="B3" s="1"/>
    </row>
    <row r="4" customFormat="false" ht="13.8" hidden="false" customHeight="false" outlineLevel="0" collapsed="false">
      <c r="U4" s="3"/>
      <c r="V4" s="3"/>
    </row>
    <row r="5" customFormat="false" ht="13.8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10</v>
      </c>
      <c r="J5" s="4" t="s">
        <v>11</v>
      </c>
      <c r="K5" s="4" t="s">
        <v>12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  <c r="U5" s="4" t="s">
        <v>21</v>
      </c>
      <c r="V5" s="4" t="s">
        <v>10</v>
      </c>
      <c r="W5" s="4" t="s">
        <v>19</v>
      </c>
    </row>
    <row r="6" customFormat="false" ht="13.8" hidden="false" customHeight="false" outlineLevel="0" collapsed="false">
      <c r="A6" s="0" t="s">
        <v>22</v>
      </c>
      <c r="B6" s="0" t="s">
        <v>23</v>
      </c>
      <c r="C6" s="5" t="s">
        <v>24</v>
      </c>
      <c r="D6" s="6"/>
      <c r="E6" s="6"/>
      <c r="G6" s="7"/>
      <c r="H6" s="8"/>
      <c r="I6" s="8"/>
      <c r="J6" s="9" t="n">
        <v>554763.225348419</v>
      </c>
      <c r="K6" s="10"/>
      <c r="L6" s="10"/>
      <c r="M6" s="11" t="n">
        <v>20124</v>
      </c>
      <c r="N6" s="2"/>
      <c r="O6" s="12" t="n">
        <v>50000</v>
      </c>
      <c r="P6" s="7"/>
      <c r="Q6" s="7"/>
      <c r="R6" s="8"/>
      <c r="S6" s="2"/>
      <c r="T6" s="7"/>
      <c r="U6" s="2"/>
      <c r="V6" s="2"/>
    </row>
    <row r="7" customFormat="false" ht="13.8" hidden="false" customHeight="false" outlineLevel="0" collapsed="false">
      <c r="A7" s="0" t="s">
        <v>25</v>
      </c>
      <c r="B7" s="0" t="s">
        <v>26</v>
      </c>
      <c r="C7" s="5" t="s">
        <v>27</v>
      </c>
      <c r="G7" s="0" t="n">
        <v>16</v>
      </c>
      <c r="H7" s="8"/>
      <c r="I7" s="8"/>
      <c r="J7" s="9" t="n">
        <v>73968.4300464558</v>
      </c>
      <c r="K7" s="9" t="n">
        <v>120000</v>
      </c>
      <c r="L7" s="13" t="n">
        <f aca="false">+K7*1.2195</f>
        <v>146340</v>
      </c>
      <c r="M7" s="11" t="n">
        <v>10780</v>
      </c>
      <c r="N7" s="2"/>
      <c r="O7" s="12" t="n">
        <v>50000</v>
      </c>
      <c r="P7" s="12" t="n">
        <v>20000</v>
      </c>
      <c r="Q7" s="2"/>
      <c r="R7" s="8" t="n">
        <v>50000</v>
      </c>
      <c r="S7" s="2"/>
      <c r="T7" s="7"/>
      <c r="U7" s="2"/>
      <c r="V7" s="2"/>
    </row>
    <row r="8" customFormat="false" ht="13.8" hidden="false" customHeight="false" outlineLevel="0" collapsed="false">
      <c r="A8" s="0" t="s">
        <v>28</v>
      </c>
      <c r="B8" s="0" t="s">
        <v>29</v>
      </c>
      <c r="C8" s="5" t="s">
        <v>27</v>
      </c>
      <c r="G8" s="0" t="n">
        <v>5</v>
      </c>
      <c r="H8" s="8"/>
      <c r="I8" s="8"/>
      <c r="J8" s="9"/>
      <c r="K8" s="9" t="n">
        <v>180000</v>
      </c>
      <c r="L8" s="13" t="n">
        <f aca="false">+K8*1.2195</f>
        <v>219510</v>
      </c>
      <c r="M8" s="11" t="n">
        <v>5120.64</v>
      </c>
      <c r="N8" s="2"/>
      <c r="O8" s="12" t="n">
        <v>40000</v>
      </c>
      <c r="P8" s="7"/>
      <c r="Q8" s="2"/>
      <c r="R8" s="8" t="n">
        <v>200000</v>
      </c>
      <c r="S8" s="2"/>
      <c r="T8" s="7"/>
      <c r="U8" s="14"/>
      <c r="V8" s="2"/>
    </row>
    <row r="9" customFormat="false" ht="13.8" hidden="false" customHeight="false" outlineLevel="0" collapsed="false">
      <c r="A9" s="7" t="s">
        <v>30</v>
      </c>
      <c r="B9" s="7" t="s">
        <v>31</v>
      </c>
      <c r="C9" s="15" t="s">
        <v>27</v>
      </c>
      <c r="F9" s="7"/>
      <c r="G9" s="6" t="n">
        <v>16</v>
      </c>
      <c r="H9" s="2"/>
      <c r="I9" s="2"/>
      <c r="J9" s="7"/>
      <c r="K9" s="9" t="n">
        <v>110000</v>
      </c>
      <c r="L9" s="13" t="n">
        <f aca="false">+K9*1.2195</f>
        <v>134145</v>
      </c>
      <c r="M9" s="11" t="n">
        <v>10780</v>
      </c>
      <c r="N9" s="2"/>
      <c r="O9" s="12" t="n">
        <f aca="false">50000</f>
        <v>50000</v>
      </c>
      <c r="P9" s="7"/>
      <c r="Q9" s="2"/>
      <c r="R9" s="8"/>
      <c r="S9" s="2"/>
      <c r="T9" s="7"/>
      <c r="U9" s="2"/>
      <c r="V9" s="2"/>
    </row>
    <row r="10" customFormat="false" ht="13.8" hidden="false" customHeight="false" outlineLevel="0" collapsed="false">
      <c r="A10" s="0" t="s">
        <v>32</v>
      </c>
      <c r="B10" s="6" t="s">
        <v>33</v>
      </c>
      <c r="C10" s="5" t="s">
        <v>27</v>
      </c>
      <c r="G10" s="6" t="n">
        <v>16</v>
      </c>
      <c r="H10" s="8"/>
      <c r="I10" s="8"/>
      <c r="J10" s="9"/>
      <c r="K10" s="9" t="n">
        <v>210000</v>
      </c>
      <c r="L10" s="13" t="n">
        <f aca="false">+K10*1.2195</f>
        <v>256095</v>
      </c>
      <c r="M10" s="2" t="n">
        <v>12710.82</v>
      </c>
      <c r="N10" s="12" t="n">
        <v>50000</v>
      </c>
      <c r="O10" s="12" t="n">
        <v>50000</v>
      </c>
      <c r="P10" s="7"/>
      <c r="Q10" s="2"/>
      <c r="R10" s="8"/>
      <c r="S10" s="2"/>
      <c r="T10" s="7"/>
      <c r="U10" s="2"/>
      <c r="V10" s="2"/>
    </row>
    <row r="11" customFormat="false" ht="13.8" hidden="false" customHeight="false" outlineLevel="0" collapsed="false">
      <c r="A11" s="0" t="s">
        <v>34</v>
      </c>
      <c r="B11" s="6" t="s">
        <v>35</v>
      </c>
      <c r="C11" s="5" t="s">
        <v>27</v>
      </c>
      <c r="D11" s="6"/>
      <c r="E11" s="6"/>
      <c r="G11" s="6" t="n">
        <v>16</v>
      </c>
      <c r="H11" s="8"/>
      <c r="I11" s="8"/>
      <c r="J11" s="9" t="n">
        <v>59175.0483651153</v>
      </c>
      <c r="K11" s="9" t="n">
        <v>280000</v>
      </c>
      <c r="L11" s="13" t="n">
        <f aca="false">+K11*1.2195</f>
        <v>341460</v>
      </c>
      <c r="M11" s="2" t="n">
        <v>12710.82</v>
      </c>
      <c r="N11" s="12" t="n">
        <v>40000</v>
      </c>
      <c r="O11" s="12" t="n">
        <f aca="false">50000/30*30</f>
        <v>50000</v>
      </c>
      <c r="P11" s="7"/>
      <c r="Q11" s="2"/>
      <c r="R11" s="8" t="n">
        <v>160000</v>
      </c>
      <c r="S11" s="2"/>
      <c r="T11" s="7"/>
      <c r="U11" s="16" t="n">
        <v>172756</v>
      </c>
      <c r="V11" s="2"/>
    </row>
    <row r="12" customFormat="false" ht="13.8" hidden="false" customHeight="false" outlineLevel="0" collapsed="false">
      <c r="A12" s="0" t="s">
        <v>36</v>
      </c>
      <c r="B12" s="6" t="s">
        <v>37</v>
      </c>
      <c r="C12" s="5" t="s">
        <v>27</v>
      </c>
      <c r="D12" s="6"/>
      <c r="E12" s="6"/>
      <c r="G12" s="0" t="n">
        <v>16</v>
      </c>
      <c r="H12" s="8"/>
      <c r="I12" s="8"/>
      <c r="J12" s="7"/>
      <c r="K12" s="9" t="n">
        <v>20000</v>
      </c>
      <c r="L12" s="13" t="n">
        <f aca="false">+K12*1.2195</f>
        <v>24390</v>
      </c>
      <c r="M12" s="2" t="n">
        <v>10780</v>
      </c>
      <c r="N12" s="2"/>
      <c r="O12" s="12" t="n">
        <v>20000</v>
      </c>
      <c r="P12" s="7"/>
      <c r="Q12" s="2"/>
      <c r="R12" s="8"/>
      <c r="S12" s="2"/>
      <c r="T12" s="7"/>
      <c r="U12" s="17" t="n">
        <v>59164</v>
      </c>
      <c r="V12" s="2"/>
    </row>
    <row r="13" customFormat="false" ht="13.8" hidden="false" customHeight="false" outlineLevel="0" collapsed="false">
      <c r="A13" s="0" t="s">
        <v>38</v>
      </c>
      <c r="B13" s="0" t="s">
        <v>39</v>
      </c>
      <c r="C13" s="5" t="s">
        <v>24</v>
      </c>
      <c r="D13" s="6"/>
      <c r="E13" s="6"/>
      <c r="H13" s="8"/>
      <c r="I13" s="8"/>
      <c r="J13" s="7"/>
      <c r="K13" s="9"/>
      <c r="L13" s="9"/>
      <c r="M13" s="2"/>
      <c r="N13" s="2"/>
      <c r="O13" s="12" t="n">
        <v>500000</v>
      </c>
      <c r="P13" s="7"/>
      <c r="Q13" s="2"/>
      <c r="R13" s="8" t="n">
        <v>200000</v>
      </c>
      <c r="S13" s="2"/>
      <c r="T13" s="7"/>
      <c r="U13" s="2"/>
      <c r="V13" s="2"/>
    </row>
    <row r="14" customFormat="false" ht="13.8" hidden="false" customHeight="false" outlineLevel="0" collapsed="false">
      <c r="A14" s="0" t="s">
        <v>40</v>
      </c>
      <c r="B14" s="0" t="s">
        <v>41</v>
      </c>
      <c r="C14" s="5" t="s">
        <v>27</v>
      </c>
      <c r="D14" s="6"/>
      <c r="E14" s="6"/>
      <c r="H14" s="8"/>
      <c r="I14" s="8"/>
      <c r="J14" s="7"/>
      <c r="K14" s="9" t="n">
        <v>390000</v>
      </c>
      <c r="L14" s="13" t="n">
        <f aca="false">+K14*1.2195</f>
        <v>475605</v>
      </c>
      <c r="M14" s="2" t="n">
        <v>15909.1</v>
      </c>
      <c r="N14" s="2"/>
      <c r="O14" s="12" t="n">
        <v>50000</v>
      </c>
      <c r="P14" s="7"/>
      <c r="Q14" s="2"/>
      <c r="R14" s="8"/>
      <c r="S14" s="2"/>
      <c r="T14" s="7"/>
      <c r="U14" s="14"/>
      <c r="V14" s="2"/>
    </row>
    <row r="15" customFormat="false" ht="13.8" hidden="false" customHeight="false" outlineLevel="0" collapsed="false">
      <c r="A15" s="0" t="s">
        <v>42</v>
      </c>
      <c r="B15" s="0" t="s">
        <v>43</v>
      </c>
      <c r="C15" s="5" t="s">
        <v>27</v>
      </c>
      <c r="D15" s="6"/>
      <c r="E15" s="6"/>
      <c r="G15" s="0" t="n">
        <v>16</v>
      </c>
      <c r="H15" s="8"/>
      <c r="I15" s="8"/>
      <c r="J15" s="9" t="n">
        <v>73968.4300464558</v>
      </c>
      <c r="K15" s="9" t="n">
        <v>50000</v>
      </c>
      <c r="L15" s="13" t="n">
        <f aca="false">+K15*1.2195</f>
        <v>60975</v>
      </c>
      <c r="M15" s="2" t="n">
        <v>10780</v>
      </c>
      <c r="N15" s="12" t="n">
        <f aca="false">20000/30*30</f>
        <v>20000</v>
      </c>
      <c r="O15" s="12" t="n">
        <f aca="false">50000/30*30</f>
        <v>50000</v>
      </c>
      <c r="P15" s="12" t="n">
        <v>20000</v>
      </c>
      <c r="Q15" s="2"/>
      <c r="R15" s="8"/>
      <c r="S15" s="2"/>
      <c r="T15" s="7"/>
      <c r="U15" s="2"/>
      <c r="V15" s="2"/>
    </row>
    <row r="16" customFormat="false" ht="13.8" hidden="false" customHeight="false" outlineLevel="0" collapsed="false">
      <c r="A16" s="0" t="s">
        <v>44</v>
      </c>
      <c r="B16" s="0" t="s">
        <v>45</v>
      </c>
      <c r="C16" s="5" t="s">
        <v>27</v>
      </c>
      <c r="D16" s="6"/>
      <c r="E16" s="6"/>
      <c r="H16" s="8"/>
      <c r="I16" s="8"/>
      <c r="J16" s="9" t="n">
        <v>73535.5235366491</v>
      </c>
      <c r="K16" s="9" t="n">
        <v>390000</v>
      </c>
      <c r="L16" s="13" t="n">
        <f aca="false">+K16*1.2195</f>
        <v>475605</v>
      </c>
      <c r="M16" s="2" t="n">
        <v>23686.84</v>
      </c>
      <c r="N16" s="2"/>
      <c r="O16" s="12" t="n">
        <f aca="false">(50000/30)*30</f>
        <v>50000</v>
      </c>
      <c r="P16" s="7"/>
      <c r="Q16" s="2"/>
      <c r="R16" s="8" t="n">
        <v>200000</v>
      </c>
      <c r="S16" s="2"/>
      <c r="T16" s="7"/>
      <c r="U16" s="2"/>
      <c r="V16" s="2"/>
    </row>
    <row r="17" customFormat="false" ht="13.8" hidden="false" customHeight="false" outlineLevel="0" collapsed="false">
      <c r="A17" s="0" t="s">
        <v>46</v>
      </c>
      <c r="B17" s="0" t="s">
        <v>47</v>
      </c>
      <c r="C17" s="5" t="s">
        <v>27</v>
      </c>
      <c r="D17" s="6"/>
      <c r="E17" s="6"/>
      <c r="G17" s="0" t="n">
        <v>16</v>
      </c>
      <c r="H17" s="8"/>
      <c r="I17" s="8"/>
      <c r="J17" s="7"/>
      <c r="K17" s="9" t="n">
        <v>270000</v>
      </c>
      <c r="L17" s="13" t="n">
        <f aca="false">+K17*1.2195</f>
        <v>329265</v>
      </c>
      <c r="M17" s="2" t="n">
        <v>20000</v>
      </c>
      <c r="N17" s="2"/>
      <c r="O17" s="12" t="n">
        <f aca="false">(50000/30)*30</f>
        <v>50000</v>
      </c>
      <c r="P17" s="7"/>
      <c r="Q17" s="2"/>
      <c r="R17" s="8"/>
      <c r="S17" s="2"/>
      <c r="T17" s="7"/>
      <c r="U17" s="2"/>
      <c r="V17" s="2"/>
    </row>
    <row r="18" customFormat="false" ht="13.8" hidden="false" customHeight="false" outlineLevel="0" collapsed="false">
      <c r="A18" s="0" t="s">
        <v>48</v>
      </c>
      <c r="B18" s="0" t="s">
        <v>49</v>
      </c>
      <c r="C18" s="0" t="s">
        <v>27</v>
      </c>
      <c r="D18" s="6"/>
      <c r="E18" s="6"/>
      <c r="G18" s="0" t="n">
        <v>16</v>
      </c>
      <c r="H18" s="8"/>
      <c r="I18" s="8"/>
      <c r="J18" s="7"/>
      <c r="K18" s="9"/>
      <c r="L18" s="9"/>
      <c r="M18" s="2"/>
      <c r="N18" s="2"/>
      <c r="O18" s="2"/>
      <c r="P18" s="7"/>
      <c r="Q18" s="2"/>
      <c r="R18" s="8" t="n">
        <v>60000</v>
      </c>
      <c r="S18" s="2"/>
      <c r="T18" s="7"/>
      <c r="U18" s="2"/>
      <c r="V18" s="2"/>
    </row>
    <row r="19" customFormat="false" ht="13.8" hidden="false" customHeight="false" outlineLevel="0" collapsed="false">
      <c r="A19" s="0" t="s">
        <v>50</v>
      </c>
      <c r="B19" s="0" t="s">
        <v>51</v>
      </c>
      <c r="C19" s="0" t="s">
        <v>27</v>
      </c>
      <c r="D19" s="6"/>
      <c r="E19" s="6"/>
      <c r="G19" s="0" t="n">
        <v>16</v>
      </c>
      <c r="H19" s="8"/>
      <c r="I19" s="8"/>
      <c r="J19" s="7"/>
      <c r="K19" s="9" t="n">
        <v>140000</v>
      </c>
      <c r="L19" s="13" t="n">
        <f aca="false">+K19*1.2195</f>
        <v>170730</v>
      </c>
      <c r="M19" s="2" t="n">
        <v>12710.82</v>
      </c>
      <c r="N19" s="12" t="n">
        <v>15000</v>
      </c>
      <c r="O19" s="12" t="n">
        <v>50000</v>
      </c>
      <c r="P19" s="7"/>
      <c r="Q19" s="2"/>
      <c r="R19" s="8" t="n">
        <v>50000</v>
      </c>
      <c r="S19" s="2"/>
      <c r="T19" s="7"/>
      <c r="U19" s="2"/>
      <c r="V19" s="2"/>
    </row>
    <row r="20" customFormat="false" ht="13.8" hidden="false" customHeight="false" outlineLevel="0" collapsed="false">
      <c r="A20" s="0" t="s">
        <v>52</v>
      </c>
      <c r="B20" s="6" t="s">
        <v>53</v>
      </c>
      <c r="C20" s="0" t="s">
        <v>27</v>
      </c>
      <c r="D20" s="6"/>
      <c r="E20" s="6"/>
      <c r="G20" s="0" t="n">
        <v>16</v>
      </c>
      <c r="H20" s="8"/>
      <c r="I20" s="8"/>
      <c r="J20" s="7"/>
      <c r="K20" s="9" t="n">
        <v>400000</v>
      </c>
      <c r="L20" s="13" t="n">
        <f aca="false">+K20*1.2195</f>
        <v>487800</v>
      </c>
      <c r="M20" s="2" t="n">
        <v>12710.82</v>
      </c>
      <c r="N20" s="12" t="n">
        <v>15000</v>
      </c>
      <c r="O20" s="12" t="n">
        <f aca="false">(50000/30)*30</f>
        <v>50000</v>
      </c>
      <c r="P20" s="7"/>
      <c r="Q20" s="2"/>
      <c r="R20" s="8"/>
      <c r="S20" s="2"/>
      <c r="T20" s="7"/>
      <c r="U20" s="2" t="n">
        <v>78694</v>
      </c>
      <c r="V20" s="2"/>
    </row>
    <row r="21" customFormat="false" ht="13.8" hidden="false" customHeight="false" outlineLevel="0" collapsed="false">
      <c r="A21" s="6" t="s">
        <v>54</v>
      </c>
      <c r="B21" s="6" t="s">
        <v>55</v>
      </c>
      <c r="C21" s="0" t="s">
        <v>27</v>
      </c>
      <c r="D21" s="6"/>
      <c r="E21" s="6"/>
      <c r="G21" s="0" t="n">
        <v>16</v>
      </c>
      <c r="J21" s="7"/>
      <c r="K21" s="9" t="n">
        <v>40000</v>
      </c>
      <c r="L21" s="13" t="n">
        <f aca="false">+K21*1.2195</f>
        <v>48780</v>
      </c>
      <c r="M21" s="2" t="n">
        <v>10780</v>
      </c>
      <c r="N21" s="2"/>
      <c r="O21" s="12" t="n">
        <f aca="false">50000/30*30</f>
        <v>50000</v>
      </c>
      <c r="P21" s="7"/>
      <c r="Q21" s="7"/>
      <c r="R21" s="8" t="n">
        <v>80000</v>
      </c>
      <c r="S21" s="7"/>
      <c r="T21" s="7"/>
      <c r="U21" s="7"/>
      <c r="V21" s="2"/>
    </row>
    <row r="22" customFormat="false" ht="13.8" hidden="false" customHeight="false" outlineLevel="0" collapsed="false">
      <c r="A22" s="18" t="s">
        <v>56</v>
      </c>
      <c r="B22" s="18" t="s">
        <v>57</v>
      </c>
      <c r="C22" s="18" t="s">
        <v>27</v>
      </c>
      <c r="D22" s="6"/>
      <c r="E22" s="6"/>
      <c r="G22" s="0" t="n">
        <v>16</v>
      </c>
      <c r="J22" s="7"/>
      <c r="K22" s="9" t="n">
        <v>40000</v>
      </c>
      <c r="L22" s="13" t="n">
        <f aca="false">+K22*1.2195</f>
        <v>48780</v>
      </c>
      <c r="M22" s="2" t="n">
        <v>10832.1</v>
      </c>
      <c r="N22" s="2"/>
      <c r="O22" s="12" t="n">
        <f aca="false">50000/30*23</f>
        <v>38333.3333333333</v>
      </c>
      <c r="P22" s="7"/>
      <c r="Q22" s="7"/>
      <c r="R22" s="8"/>
      <c r="T22" s="7"/>
      <c r="U22" s="7"/>
      <c r="V22" s="2"/>
    </row>
    <row r="23" customFormat="false" ht="13.8" hidden="false" customHeight="false" outlineLevel="0" collapsed="false">
      <c r="A23" s="6" t="s">
        <v>58</v>
      </c>
      <c r="B23" s="6" t="s">
        <v>59</v>
      </c>
      <c r="C23" s="18" t="s">
        <v>27</v>
      </c>
      <c r="G23" s="0" t="n">
        <v>16</v>
      </c>
      <c r="J23" s="7"/>
      <c r="K23" s="9" t="n">
        <v>20000</v>
      </c>
      <c r="L23" s="13" t="n">
        <f aca="false">+K23*1.2195</f>
        <v>24390</v>
      </c>
      <c r="M23" s="7" t="n">
        <v>10780</v>
      </c>
      <c r="N23" s="7"/>
      <c r="O23" s="7"/>
      <c r="P23" s="7"/>
      <c r="Q23" s="7"/>
      <c r="R23" s="8"/>
      <c r="T23" s="19"/>
      <c r="U23" s="16"/>
      <c r="V23" s="7"/>
    </row>
    <row r="24" customFormat="false" ht="13.8" hidden="false" customHeight="false" outlineLevel="0" collapsed="false">
      <c r="A24" s="6" t="s">
        <v>60</v>
      </c>
      <c r="B24" s="6" t="s">
        <v>61</v>
      </c>
      <c r="C24" s="18" t="s">
        <v>27</v>
      </c>
      <c r="D24" s="20" t="n">
        <v>2</v>
      </c>
      <c r="E24" s="20"/>
      <c r="F24" s="21" t="s">
        <v>62</v>
      </c>
      <c r="G24" s="0" t="n">
        <v>16</v>
      </c>
      <c r="J24" s="9"/>
      <c r="K24" s="10" t="n">
        <v>80000</v>
      </c>
      <c r="L24" s="13" t="n">
        <f aca="false">+K24*1.2195</f>
        <v>97560</v>
      </c>
      <c r="M24" s="7" t="n">
        <v>10780</v>
      </c>
      <c r="N24" s="7"/>
      <c r="O24" s="7"/>
      <c r="P24" s="7"/>
      <c r="Q24" s="7"/>
      <c r="R24" s="8"/>
      <c r="T24" s="19"/>
      <c r="U24" s="16"/>
      <c r="V24" s="7"/>
    </row>
    <row r="25" customFormat="false" ht="13.8" hidden="false" customHeight="false" outlineLevel="0" collapsed="false">
      <c r="A25" s="6" t="s">
        <v>63</v>
      </c>
      <c r="B25" s="6" t="s">
        <v>64</v>
      </c>
      <c r="C25" s="18" t="s">
        <v>27</v>
      </c>
      <c r="D25" s="20"/>
      <c r="E25" s="20" t="n">
        <v>30</v>
      </c>
      <c r="F25" s="0" t="s">
        <v>65</v>
      </c>
      <c r="J25" s="9"/>
      <c r="K25" s="10"/>
      <c r="L25" s="10"/>
      <c r="M25" s="7"/>
      <c r="N25" s="7"/>
      <c r="O25" s="7"/>
      <c r="P25" s="7"/>
      <c r="Q25" s="7"/>
      <c r="R25" s="8"/>
      <c r="T25" s="19"/>
      <c r="U25" s="16"/>
      <c r="V25" s="7"/>
    </row>
    <row r="26" customFormat="false" ht="13.8" hidden="false" customHeight="false" outlineLevel="0" collapsed="false">
      <c r="A26" s="6" t="s">
        <v>66</v>
      </c>
      <c r="B26" s="6" t="s">
        <v>67</v>
      </c>
      <c r="C26" s="18" t="s">
        <v>27</v>
      </c>
      <c r="G26" s="0" t="n">
        <v>8</v>
      </c>
      <c r="J26" s="7"/>
      <c r="K26" s="9" t="n">
        <v>110000</v>
      </c>
      <c r="L26" s="13" t="n">
        <f aca="false">+K26*1.2195</f>
        <v>134145</v>
      </c>
      <c r="M26" s="7" t="n">
        <v>10780</v>
      </c>
      <c r="N26" s="7"/>
      <c r="O26" s="7"/>
      <c r="P26" s="7"/>
      <c r="Q26" s="7"/>
      <c r="R26" s="8"/>
      <c r="T26" s="19"/>
      <c r="U26" s="16"/>
      <c r="V26" s="7"/>
    </row>
    <row r="27" customFormat="false" ht="13.8" hidden="false" customHeight="false" outlineLevel="0" collapsed="false">
      <c r="A27" s="6" t="s">
        <v>68</v>
      </c>
      <c r="B27" s="6" t="s">
        <v>69</v>
      </c>
      <c r="C27" s="18" t="s">
        <v>27</v>
      </c>
      <c r="D27" s="6"/>
      <c r="E27" s="6"/>
      <c r="G27" s="0" t="n">
        <v>16</v>
      </c>
      <c r="J27" s="7"/>
      <c r="K27" s="9" t="n">
        <v>60000</v>
      </c>
      <c r="L27" s="13" t="n">
        <f aca="false">+K27*1.2195</f>
        <v>73170</v>
      </c>
      <c r="M27" s="7" t="n">
        <v>10780</v>
      </c>
      <c r="N27" s="7"/>
      <c r="O27" s="7"/>
      <c r="P27" s="7"/>
      <c r="Q27" s="7"/>
      <c r="R27" s="8"/>
      <c r="T27" s="19"/>
      <c r="U27" s="16"/>
      <c r="V27" s="7"/>
    </row>
    <row r="28" customFormat="false" ht="13.8" hidden="false" customHeight="false" outlineLevel="0" collapsed="false">
      <c r="A28" s="6" t="s">
        <v>70</v>
      </c>
      <c r="B28" s="6" t="s">
        <v>71</v>
      </c>
      <c r="C28" s="18" t="s">
        <v>27</v>
      </c>
      <c r="G28" s="0" t="n">
        <v>16</v>
      </c>
      <c r="J28" s="7"/>
      <c r="K28" s="9" t="n">
        <v>40000</v>
      </c>
      <c r="L28" s="13" t="n">
        <f aca="false">+K28*1.2195</f>
        <v>48780</v>
      </c>
      <c r="M28" s="7" t="n">
        <v>10780</v>
      </c>
      <c r="N28" s="7"/>
      <c r="O28" s="7"/>
      <c r="P28" s="7"/>
      <c r="Q28" s="7"/>
      <c r="R28" s="8"/>
      <c r="T28" s="19"/>
      <c r="U28" s="16"/>
      <c r="V28" s="7"/>
    </row>
    <row r="29" customFormat="false" ht="13.8" hidden="false" customHeight="false" outlineLevel="0" collapsed="false">
      <c r="A29" s="6" t="s">
        <v>72</v>
      </c>
      <c r="B29" s="6" t="s">
        <v>73</v>
      </c>
      <c r="C29" s="18" t="s">
        <v>27</v>
      </c>
      <c r="G29" s="0" t="n">
        <v>16</v>
      </c>
      <c r="J29" s="7"/>
      <c r="K29" s="9" t="n">
        <v>40000</v>
      </c>
      <c r="L29" s="13" t="n">
        <f aca="false">+K29*1.2195</f>
        <v>48780</v>
      </c>
      <c r="M29" s="7" t="n">
        <v>10780</v>
      </c>
      <c r="N29" s="7"/>
      <c r="O29" s="7"/>
      <c r="P29" s="7"/>
      <c r="Q29" s="7"/>
      <c r="R29" s="8"/>
      <c r="T29" s="19"/>
      <c r="U29" s="16"/>
      <c r="V29" s="7"/>
    </row>
    <row r="30" customFormat="false" ht="13.8" hidden="false" customHeight="false" outlineLevel="0" collapsed="false">
      <c r="A30" s="6" t="s">
        <v>74</v>
      </c>
      <c r="B30" s="6" t="s">
        <v>75</v>
      </c>
      <c r="C30" s="18" t="s">
        <v>27</v>
      </c>
      <c r="G30" s="0" t="n">
        <v>16</v>
      </c>
      <c r="J30" s="7"/>
      <c r="K30" s="9" t="n">
        <v>20000</v>
      </c>
      <c r="L30" s="13" t="n">
        <f aca="false">+K30*1.2195</f>
        <v>24390</v>
      </c>
      <c r="M30" s="7" t="n">
        <v>10780</v>
      </c>
      <c r="N30" s="7"/>
      <c r="O30" s="7"/>
      <c r="P30" s="7"/>
      <c r="Q30" s="7"/>
      <c r="R30" s="8"/>
      <c r="T30" s="19"/>
      <c r="U30" s="16"/>
      <c r="V30" s="7"/>
    </row>
    <row r="31" customFormat="false" ht="13.8" hidden="false" customHeight="false" outlineLevel="0" collapsed="false">
      <c r="A31" s="6" t="s">
        <v>76</v>
      </c>
      <c r="B31" s="6" t="s">
        <v>77</v>
      </c>
      <c r="C31" s="18" t="s">
        <v>27</v>
      </c>
      <c r="G31" s="0" t="n">
        <v>16</v>
      </c>
      <c r="J31" s="7"/>
      <c r="K31" s="9" t="n">
        <v>80000</v>
      </c>
      <c r="L31" s="13" t="n">
        <f aca="false">+K31*1.2195</f>
        <v>97560</v>
      </c>
      <c r="M31" s="7" t="n">
        <v>11820</v>
      </c>
      <c r="N31" s="7"/>
      <c r="O31" s="7"/>
      <c r="P31" s="7"/>
      <c r="Q31" s="7"/>
      <c r="R31" s="8" t="n">
        <v>150000</v>
      </c>
      <c r="T31" s="19"/>
      <c r="U31" s="16"/>
      <c r="V31" s="7"/>
    </row>
    <row r="32" customFormat="false" ht="13.8" hidden="false" customHeight="false" outlineLevel="0" collapsed="false">
      <c r="A32" s="6" t="s">
        <v>78</v>
      </c>
      <c r="B32" s="6" t="s">
        <v>79</v>
      </c>
      <c r="C32" s="18" t="s">
        <v>27</v>
      </c>
      <c r="G32" s="0" t="n">
        <v>16</v>
      </c>
      <c r="J32" s="7"/>
      <c r="K32" s="9" t="n">
        <v>40000</v>
      </c>
      <c r="L32" s="13" t="n">
        <f aca="false">+K32*1.2195</f>
        <v>48780</v>
      </c>
      <c r="M32" s="7" t="n">
        <v>12700</v>
      </c>
      <c r="N32" s="7"/>
      <c r="O32" s="7"/>
      <c r="P32" s="7"/>
      <c r="Q32" s="7"/>
      <c r="R32" s="8"/>
      <c r="T32" s="19"/>
      <c r="U32" s="16"/>
      <c r="V32" s="7"/>
    </row>
    <row r="33" customFormat="false" ht="13.8" hidden="false" customHeight="false" outlineLevel="0" collapsed="false">
      <c r="A33" s="6" t="s">
        <v>80</v>
      </c>
      <c r="B33" s="6" t="s">
        <v>81</v>
      </c>
      <c r="C33" s="18" t="s">
        <v>27</v>
      </c>
      <c r="G33" s="0" t="n">
        <v>16</v>
      </c>
      <c r="J33" s="7"/>
      <c r="K33" s="9" t="n">
        <v>40000</v>
      </c>
      <c r="L33" s="13" t="n">
        <f aca="false">+K33*1.2195</f>
        <v>48780</v>
      </c>
      <c r="M33" s="7" t="n">
        <v>10780</v>
      </c>
      <c r="N33" s="7"/>
      <c r="O33" s="7"/>
      <c r="P33" s="7"/>
      <c r="Q33" s="7"/>
      <c r="R33" s="8"/>
    </row>
    <row r="34" customFormat="false" ht="13.8" hidden="false" customHeight="false" outlineLevel="0" collapsed="false">
      <c r="A34" s="6" t="s">
        <v>82</v>
      </c>
      <c r="B34" s="6" t="s">
        <v>83</v>
      </c>
      <c r="C34" s="18" t="s">
        <v>27</v>
      </c>
      <c r="G34" s="0" t="n">
        <v>10</v>
      </c>
      <c r="J34" s="7"/>
      <c r="K34" s="9" t="n">
        <v>20000</v>
      </c>
      <c r="L34" s="13" t="n">
        <f aca="false">+K34*1.2195</f>
        <v>24390</v>
      </c>
      <c r="M34" s="7" t="n">
        <v>10780</v>
      </c>
      <c r="N34" s="7"/>
      <c r="O34" s="7"/>
      <c r="P34" s="7"/>
      <c r="Q34" s="7"/>
      <c r="R34" s="8" t="n">
        <v>100000</v>
      </c>
    </row>
    <row r="35" customFormat="false" ht="13.8" hidden="false" customHeight="false" outlineLevel="0" collapsed="false">
      <c r="A35" s="6" t="s">
        <v>84</v>
      </c>
      <c r="B35" s="6" t="s">
        <v>85</v>
      </c>
      <c r="C35" s="18" t="s">
        <v>27</v>
      </c>
      <c r="G35" s="0" t="n">
        <v>16</v>
      </c>
      <c r="J35" s="7"/>
      <c r="M35" s="7" t="n">
        <v>10780</v>
      </c>
      <c r="N35" s="7"/>
      <c r="O35" s="7"/>
      <c r="R35" s="8" t="n">
        <v>100000</v>
      </c>
    </row>
    <row r="36" customFormat="false" ht="13.8" hidden="false" customHeight="false" outlineLevel="0" collapsed="false">
      <c r="A36" s="6"/>
      <c r="R36" s="8"/>
    </row>
    <row r="37" customFormat="false" ht="13.8" hidden="false" customHeight="false" outlineLevel="0" collapsed="false">
      <c r="G37" s="3" t="n">
        <f aca="false">SUM(G6:I35)</f>
        <v>375</v>
      </c>
      <c r="J37" s="22" t="n">
        <f aca="false">SUM(J6:J35)</f>
        <v>835410.657343095</v>
      </c>
      <c r="K37" s="22" t="n">
        <f aca="false">SUM(K6:K35)</f>
        <v>3190000</v>
      </c>
      <c r="L37" s="22" t="n">
        <f aca="false">SUM(L6:L35)</f>
        <v>3890205</v>
      </c>
      <c r="M37" s="22" t="n">
        <f aca="false">SUM(M6:M35)</f>
        <v>332735.96</v>
      </c>
      <c r="N37" s="22" t="n">
        <f aca="false">SUM(N6:N35)</f>
        <v>140000</v>
      </c>
      <c r="O37" s="22" t="n">
        <f aca="false">SUM(O6:O35)</f>
        <v>1198333.33333333</v>
      </c>
      <c r="P37" s="22" t="n">
        <f aca="false">SUM(P6:P35)</f>
        <v>40000</v>
      </c>
      <c r="Q37" s="22" t="n">
        <f aca="false">SUM(Q6:Q35)</f>
        <v>0</v>
      </c>
      <c r="R37" s="22" t="n">
        <f aca="false">SUM(R6:R35)</f>
        <v>1350000</v>
      </c>
      <c r="U37" s="22" t="n">
        <f aca="false">SUM(U6:U35)</f>
        <v>310614</v>
      </c>
      <c r="W37" s="22" t="n">
        <f aca="false">SUM(W6:W33)</f>
        <v>0</v>
      </c>
    </row>
    <row r="38" customFormat="false" ht="13.8" hidden="false" customHeight="false" outlineLevel="0" collapsed="false">
      <c r="L38" s="13"/>
    </row>
  </sheetData>
  <autoFilter ref="A5:C33">
    <sortState ref="A6:C33">
      <sortCondition ref="A6:A33" descending="1"/>
    </sortState>
  </autoFilter>
  <mergeCells count="3">
    <mergeCell ref="A1:B1"/>
    <mergeCell ref="A2:B2"/>
    <mergeCell ref="A3:B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O9" activePane="bottomRight" state="frozen"/>
      <selection pane="topLeft" activeCell="A1" activeCellId="0" sqref="A1"/>
      <selection pane="topRight" activeCell="O1" activeCellId="0" sqref="O1"/>
      <selection pane="bottomLeft" activeCell="A9" activeCellId="0" sqref="A9"/>
      <selection pane="bottomRight" activeCell="P15" activeCellId="0" sqref="P15"/>
    </sheetView>
  </sheetViews>
  <sheetFormatPr defaultColWidth="9.109375" defaultRowHeight="14.25" customHeight="false" zeroHeight="false" outlineLevelRow="0" outlineLevelCol="0"/>
  <cols>
    <col collapsed="false" customWidth="true" hidden="false" outlineLevel="0" max="1" min="1" style="21" width="43.56"/>
    <col collapsed="false" customWidth="true" hidden="false" outlineLevel="0" max="2" min="2" style="21" width="15.33"/>
    <col collapsed="false" customWidth="true" hidden="false" outlineLevel="0" max="3" min="3" style="21" width="17.56"/>
    <col collapsed="false" customWidth="true" hidden="false" outlineLevel="0" max="4" min="4" style="21" width="14.33"/>
    <col collapsed="false" customWidth="true" hidden="false" outlineLevel="0" max="5" min="5" style="21" width="11.89"/>
    <col collapsed="false" customWidth="true" hidden="false" outlineLevel="0" max="6" min="6" style="21" width="17.67"/>
    <col collapsed="false" customWidth="true" hidden="false" outlineLevel="0" max="7" min="7" style="21" width="14.11"/>
    <col collapsed="false" customWidth="true" hidden="true" outlineLevel="0" max="9" min="8" style="21" width="13.56"/>
    <col collapsed="false" customWidth="true" hidden="false" outlineLevel="0" max="10" min="10" style="21" width="19.11"/>
    <col collapsed="false" customWidth="true" hidden="true" outlineLevel="0" max="11" min="11" style="21" width="12.88"/>
    <col collapsed="false" customWidth="true" hidden="false" outlineLevel="0" max="12" min="12" style="21" width="13.44"/>
    <col collapsed="false" customWidth="true" hidden="false" outlineLevel="0" max="13" min="13" style="21" width="19.56"/>
    <col collapsed="false" customWidth="true" hidden="false" outlineLevel="0" max="14" min="14" style="21" width="23.56"/>
    <col collapsed="false" customWidth="true" hidden="false" outlineLevel="0" max="15" min="15" style="21" width="14.44"/>
    <col collapsed="false" customWidth="true" hidden="false" outlineLevel="0" max="16" min="16" style="21" width="15.44"/>
    <col collapsed="false" customWidth="false" hidden="false" outlineLevel="0" max="17" min="17" style="21" width="9.11"/>
    <col collapsed="false" customWidth="true" hidden="false" outlineLevel="0" max="18" min="18" style="21" width="10.56"/>
    <col collapsed="false" customWidth="true" hidden="true" outlineLevel="0" max="19" min="19" style="21" width="21.33"/>
    <col collapsed="false" customWidth="true" hidden="false" outlineLevel="0" max="20" min="20" style="21" width="15.33"/>
    <col collapsed="false" customWidth="true" hidden="false" outlineLevel="0" max="22" min="21" style="21" width="15.66"/>
    <col collapsed="false" customWidth="true" hidden="false" outlineLevel="0" max="23" min="23" style="21" width="21.33"/>
    <col collapsed="false" customWidth="false" hidden="false" outlineLevel="0" max="16384" min="24" style="21" width="9.11"/>
  </cols>
  <sheetData>
    <row r="1" customFormat="false" ht="14.25" hidden="false" customHeight="false" outlineLevel="0" collapsed="false">
      <c r="A1" s="23" t="s">
        <v>0</v>
      </c>
      <c r="B1" s="23"/>
    </row>
    <row r="2" customFormat="false" ht="14.25" hidden="false" customHeight="false" outlineLevel="0" collapsed="false">
      <c r="A2" s="23" t="s">
        <v>1</v>
      </c>
      <c r="B2" s="23"/>
      <c r="F2" s="13"/>
      <c r="G2" s="13"/>
      <c r="H2" s="13"/>
      <c r="I2" s="13"/>
      <c r="J2" s="13"/>
      <c r="K2" s="13"/>
      <c r="L2" s="13"/>
      <c r="M2" s="13"/>
    </row>
    <row r="3" customFormat="false" ht="14.25" hidden="false" customHeight="false" outlineLevel="0" collapsed="false">
      <c r="A3" s="23" t="s">
        <v>2</v>
      </c>
      <c r="B3" s="23"/>
    </row>
    <row r="4" customFormat="false" ht="14.25" hidden="false" customHeight="false" outlineLevel="0" collapsed="false">
      <c r="U4" s="24"/>
      <c r="V4" s="24"/>
    </row>
    <row r="5" customFormat="false" ht="14.25" hidden="false" customHeight="false" outlineLevel="0" collapsed="false">
      <c r="A5" s="25" t="s">
        <v>3</v>
      </c>
      <c r="B5" s="25" t="s">
        <v>4</v>
      </c>
      <c r="C5" s="25" t="s">
        <v>5</v>
      </c>
      <c r="D5" s="25" t="s">
        <v>6</v>
      </c>
      <c r="E5" s="4" t="s">
        <v>7</v>
      </c>
      <c r="F5" s="25" t="s">
        <v>8</v>
      </c>
      <c r="G5" s="25" t="s">
        <v>9</v>
      </c>
      <c r="H5" s="25" t="s">
        <v>10</v>
      </c>
      <c r="I5" s="25" t="s">
        <v>10</v>
      </c>
      <c r="J5" s="25" t="s">
        <v>11</v>
      </c>
      <c r="K5" s="25" t="s">
        <v>12</v>
      </c>
      <c r="L5" s="25" t="s">
        <v>12</v>
      </c>
      <c r="M5" s="25" t="s">
        <v>13</v>
      </c>
      <c r="N5" s="25" t="s">
        <v>14</v>
      </c>
      <c r="O5" s="25" t="s">
        <v>15</v>
      </c>
      <c r="P5" s="25" t="s">
        <v>16</v>
      </c>
      <c r="Q5" s="25" t="s">
        <v>17</v>
      </c>
      <c r="R5" s="25" t="s">
        <v>18</v>
      </c>
      <c r="S5" s="25" t="s">
        <v>19</v>
      </c>
      <c r="T5" s="25" t="s">
        <v>20</v>
      </c>
      <c r="U5" s="25" t="s">
        <v>21</v>
      </c>
      <c r="V5" s="25" t="s">
        <v>10</v>
      </c>
      <c r="W5" s="25" t="s">
        <v>19</v>
      </c>
    </row>
    <row r="6" customFormat="false" ht="14.25" hidden="false" customHeight="false" outlineLevel="0" collapsed="false">
      <c r="A6" s="21" t="s">
        <v>22</v>
      </c>
      <c r="B6" s="21" t="s">
        <v>23</v>
      </c>
      <c r="C6" s="26" t="s">
        <v>24</v>
      </c>
      <c r="G6" s="27"/>
      <c r="H6" s="28"/>
      <c r="I6" s="28"/>
      <c r="J6" s="29" t="n">
        <v>566966.701316026</v>
      </c>
      <c r="K6" s="28"/>
      <c r="L6" s="13"/>
      <c r="M6" s="11" t="n">
        <v>20124</v>
      </c>
      <c r="N6" s="13"/>
      <c r="O6" s="12" t="n">
        <v>50000</v>
      </c>
      <c r="P6" s="27"/>
      <c r="Q6" s="27"/>
      <c r="R6" s="28"/>
      <c r="S6" s="30"/>
      <c r="T6" s="27"/>
      <c r="U6" s="11"/>
      <c r="V6" s="13"/>
    </row>
    <row r="7" customFormat="false" ht="14.25" hidden="false" customHeight="false" outlineLevel="0" collapsed="false">
      <c r="A7" s="21" t="s">
        <v>25</v>
      </c>
      <c r="B7" s="21" t="s">
        <v>26</v>
      </c>
      <c r="C7" s="26" t="s">
        <v>27</v>
      </c>
      <c r="H7" s="28"/>
      <c r="I7" s="28"/>
      <c r="J7" s="29" t="n">
        <v>75595.5601754701</v>
      </c>
      <c r="K7" s="13" t="n">
        <v>150000</v>
      </c>
      <c r="L7" s="13" t="n">
        <f aca="false">+K7*1.2195</f>
        <v>182925</v>
      </c>
      <c r="M7" s="11" t="n">
        <v>10780</v>
      </c>
      <c r="N7" s="13"/>
      <c r="O7" s="12" t="n">
        <v>50000</v>
      </c>
      <c r="P7" s="12" t="n">
        <v>20000</v>
      </c>
      <c r="Q7" s="13"/>
      <c r="R7" s="28" t="n">
        <v>50000</v>
      </c>
      <c r="S7" s="30"/>
      <c r="T7" s="27"/>
      <c r="U7" s="11"/>
      <c r="V7" s="13"/>
    </row>
    <row r="8" customFormat="false" ht="14.25" hidden="false" customHeight="false" outlineLevel="0" collapsed="false">
      <c r="A8" s="21" t="s">
        <v>28</v>
      </c>
      <c r="B8" s="21" t="s">
        <v>29</v>
      </c>
      <c r="C8" s="26" t="s">
        <v>27</v>
      </c>
      <c r="H8" s="28"/>
      <c r="I8" s="28"/>
      <c r="J8" s="29"/>
      <c r="K8" s="13" t="n">
        <v>160000</v>
      </c>
      <c r="L8" s="13" t="n">
        <f aca="false">+K8*1.2195</f>
        <v>195120</v>
      </c>
      <c r="M8" s="11" t="n">
        <v>5120.64</v>
      </c>
      <c r="N8" s="13"/>
      <c r="O8" s="12" t="n">
        <v>40000</v>
      </c>
      <c r="P8" s="27"/>
      <c r="Q8" s="13"/>
      <c r="R8" s="28" t="n">
        <v>200000</v>
      </c>
      <c r="S8" s="30"/>
      <c r="T8" s="27"/>
      <c r="U8" s="31"/>
      <c r="V8" s="13"/>
    </row>
    <row r="9" customFormat="false" ht="14.25" hidden="false" customHeight="false" outlineLevel="0" collapsed="false">
      <c r="A9" s="27" t="s">
        <v>30</v>
      </c>
      <c r="B9" s="27" t="s">
        <v>31</v>
      </c>
      <c r="C9" s="32" t="s">
        <v>27</v>
      </c>
      <c r="G9" s="27"/>
      <c r="H9" s="13"/>
      <c r="I9" s="13"/>
      <c r="J9" s="27"/>
      <c r="K9" s="13" t="n">
        <v>130000</v>
      </c>
      <c r="L9" s="13" t="n">
        <f aca="false">+K9*1.2195</f>
        <v>158535</v>
      </c>
      <c r="M9" s="11" t="n">
        <v>10780</v>
      </c>
      <c r="N9" s="13"/>
      <c r="O9" s="12" t="n">
        <f aca="false">50000</f>
        <v>50000</v>
      </c>
      <c r="P9" s="27"/>
      <c r="Q9" s="13"/>
      <c r="R9" s="28"/>
      <c r="S9" s="30"/>
      <c r="T9" s="27"/>
      <c r="U9" s="11"/>
      <c r="V9" s="13"/>
    </row>
    <row r="10" customFormat="false" ht="14.25" hidden="false" customHeight="false" outlineLevel="0" collapsed="false">
      <c r="A10" s="21" t="s">
        <v>32</v>
      </c>
      <c r="B10" s="21" t="s">
        <v>33</v>
      </c>
      <c r="C10" s="26" t="s">
        <v>27</v>
      </c>
      <c r="H10" s="28"/>
      <c r="I10" s="28"/>
      <c r="J10" s="29"/>
      <c r="K10" s="13" t="n">
        <v>180000</v>
      </c>
      <c r="L10" s="13" t="n">
        <f aca="false">+K10*1.2195</f>
        <v>219510</v>
      </c>
      <c r="M10" s="11" t="n">
        <v>12710.82</v>
      </c>
      <c r="N10" s="12" t="n">
        <v>50000</v>
      </c>
      <c r="O10" s="12" t="n">
        <v>50000</v>
      </c>
      <c r="P10" s="27"/>
      <c r="Q10" s="13"/>
      <c r="R10" s="28"/>
      <c r="S10" s="30"/>
      <c r="T10" s="27"/>
      <c r="U10" s="11"/>
      <c r="V10" s="13"/>
    </row>
    <row r="11" customFormat="false" ht="14.25" hidden="false" customHeight="false" outlineLevel="0" collapsed="false">
      <c r="A11" s="21" t="s">
        <v>34</v>
      </c>
      <c r="B11" s="21" t="s">
        <v>35</v>
      </c>
      <c r="C11" s="26" t="s">
        <v>27</v>
      </c>
      <c r="H11" s="28"/>
      <c r="I11" s="28"/>
      <c r="J11" s="29" t="n">
        <v>60476.7591628203</v>
      </c>
      <c r="K11" s="13" t="n">
        <v>310000</v>
      </c>
      <c r="L11" s="13" t="n">
        <f aca="false">+K11*1.2195</f>
        <v>378045</v>
      </c>
      <c r="M11" s="11" t="n">
        <v>12710.82</v>
      </c>
      <c r="N11" s="12" t="n">
        <v>40000</v>
      </c>
      <c r="O11" s="12" t="n">
        <f aca="false">50000/30*30</f>
        <v>50000</v>
      </c>
      <c r="P11" s="27"/>
      <c r="Q11" s="13"/>
      <c r="R11" s="28" t="n">
        <v>60000</v>
      </c>
      <c r="S11" s="30"/>
      <c r="T11" s="27"/>
      <c r="U11" s="33" t="n">
        <v>172756</v>
      </c>
      <c r="V11" s="13"/>
    </row>
    <row r="12" customFormat="false" ht="14.25" hidden="false" customHeight="false" outlineLevel="0" collapsed="false">
      <c r="A12" s="21" t="s">
        <v>36</v>
      </c>
      <c r="B12" s="21" t="s">
        <v>37</v>
      </c>
      <c r="C12" s="26" t="s">
        <v>27</v>
      </c>
      <c r="H12" s="28"/>
      <c r="I12" s="28"/>
      <c r="J12" s="27"/>
      <c r="K12" s="13" t="n">
        <v>40000</v>
      </c>
      <c r="L12" s="13" t="n">
        <f aca="false">+K12*1.2195</f>
        <v>48780</v>
      </c>
      <c r="M12" s="11" t="n">
        <v>10780</v>
      </c>
      <c r="N12" s="13"/>
      <c r="O12" s="12" t="n">
        <v>20000</v>
      </c>
      <c r="P12" s="27"/>
      <c r="Q12" s="13"/>
      <c r="R12" s="28"/>
      <c r="S12" s="30"/>
      <c r="T12" s="27"/>
      <c r="U12" s="9" t="n">
        <v>59164</v>
      </c>
      <c r="V12" s="13"/>
    </row>
    <row r="13" customFormat="false" ht="14.25" hidden="false" customHeight="false" outlineLevel="0" collapsed="false">
      <c r="A13" s="21" t="s">
        <v>38</v>
      </c>
      <c r="B13" s="21" t="s">
        <v>39</v>
      </c>
      <c r="C13" s="26" t="s">
        <v>24</v>
      </c>
      <c r="H13" s="28"/>
      <c r="I13" s="28"/>
      <c r="J13" s="27"/>
      <c r="K13" s="13"/>
      <c r="L13" s="13"/>
      <c r="M13" s="11"/>
      <c r="N13" s="13"/>
      <c r="O13" s="12" t="n">
        <v>500000</v>
      </c>
      <c r="P13" s="27"/>
      <c r="Q13" s="13"/>
      <c r="R13" s="28" t="n">
        <v>200000</v>
      </c>
      <c r="S13" s="30"/>
      <c r="T13" s="27"/>
      <c r="U13" s="11"/>
      <c r="V13" s="13"/>
    </row>
    <row r="14" customFormat="false" ht="14.25" hidden="false" customHeight="false" outlineLevel="0" collapsed="false">
      <c r="A14" s="21" t="s">
        <v>40</v>
      </c>
      <c r="B14" s="21" t="s">
        <v>41</v>
      </c>
      <c r="C14" s="26" t="s">
        <v>27</v>
      </c>
      <c r="H14" s="28"/>
      <c r="I14" s="28"/>
      <c r="J14" s="27"/>
      <c r="K14" s="13" t="n">
        <v>360000</v>
      </c>
      <c r="L14" s="13" t="n">
        <f aca="false">+K14*1.2195</f>
        <v>439020</v>
      </c>
      <c r="M14" s="11" t="n">
        <v>15909.1</v>
      </c>
      <c r="N14" s="13"/>
      <c r="O14" s="12" t="n">
        <v>50000</v>
      </c>
      <c r="P14" s="27"/>
      <c r="Q14" s="13"/>
      <c r="R14" s="28"/>
      <c r="S14" s="30"/>
      <c r="T14" s="27"/>
      <c r="U14" s="31"/>
      <c r="V14" s="13"/>
    </row>
    <row r="15" customFormat="false" ht="14.25" hidden="false" customHeight="false" outlineLevel="0" collapsed="false">
      <c r="A15" s="21" t="s">
        <v>42</v>
      </c>
      <c r="B15" s="21" t="s">
        <v>43</v>
      </c>
      <c r="C15" s="26" t="s">
        <v>27</v>
      </c>
      <c r="H15" s="28"/>
      <c r="I15" s="28"/>
      <c r="J15" s="29" t="n">
        <v>75595.5601754701</v>
      </c>
      <c r="K15" s="13" t="n">
        <v>50000</v>
      </c>
      <c r="L15" s="13" t="n">
        <f aca="false">+K15*1.2195</f>
        <v>60975</v>
      </c>
      <c r="M15" s="11" t="n">
        <v>10780</v>
      </c>
      <c r="N15" s="12" t="n">
        <f aca="false">20000/30*30</f>
        <v>20000</v>
      </c>
      <c r="O15" s="12" t="n">
        <f aca="false">50000/30*30</f>
        <v>50000</v>
      </c>
      <c r="P15" s="12" t="n">
        <v>20000</v>
      </c>
      <c r="Q15" s="13"/>
      <c r="R15" s="28"/>
      <c r="S15" s="30"/>
      <c r="T15" s="27"/>
      <c r="U15" s="11"/>
      <c r="V15" s="13"/>
    </row>
    <row r="16" customFormat="false" ht="14.25" hidden="false" customHeight="false" outlineLevel="0" collapsed="false">
      <c r="A16" s="21" t="s">
        <v>44</v>
      </c>
      <c r="B16" s="21" t="s">
        <v>45</v>
      </c>
      <c r="C16" s="26" t="s">
        <v>27</v>
      </c>
      <c r="H16" s="28"/>
      <c r="I16" s="28"/>
      <c r="J16" s="29" t="n">
        <v>75153.130748593</v>
      </c>
      <c r="K16" s="13" t="n">
        <v>300000</v>
      </c>
      <c r="L16" s="13" t="n">
        <f aca="false">+K16*1.2195</f>
        <v>365850</v>
      </c>
      <c r="M16" s="11" t="n">
        <v>23686.84</v>
      </c>
      <c r="N16" s="13"/>
      <c r="O16" s="12" t="n">
        <f aca="false">(50000/30)*30</f>
        <v>50000</v>
      </c>
      <c r="P16" s="27"/>
      <c r="Q16" s="13"/>
      <c r="R16" s="28" t="n">
        <v>200000</v>
      </c>
      <c r="S16" s="30"/>
      <c r="T16" s="27"/>
      <c r="U16" s="11"/>
      <c r="V16" s="13"/>
    </row>
    <row r="17" customFormat="false" ht="14.25" hidden="false" customHeight="false" outlineLevel="0" collapsed="false">
      <c r="A17" s="21" t="s">
        <v>46</v>
      </c>
      <c r="B17" s="21" t="s">
        <v>47</v>
      </c>
      <c r="C17" s="26" t="s">
        <v>27</v>
      </c>
      <c r="H17" s="28"/>
      <c r="I17" s="28"/>
      <c r="J17" s="29"/>
      <c r="K17" s="13" t="n">
        <v>370000</v>
      </c>
      <c r="L17" s="13" t="n">
        <f aca="false">+K17*1.2195</f>
        <v>451215</v>
      </c>
      <c r="M17" s="11" t="n">
        <v>20000</v>
      </c>
      <c r="N17" s="13"/>
      <c r="O17" s="12" t="n">
        <f aca="false">(50000/30)*30</f>
        <v>50000</v>
      </c>
      <c r="P17" s="27"/>
      <c r="Q17" s="13"/>
      <c r="R17" s="28"/>
      <c r="S17" s="30"/>
      <c r="T17" s="27"/>
      <c r="U17" s="11"/>
      <c r="V17" s="13"/>
    </row>
    <row r="18" customFormat="false" ht="14.25" hidden="false" customHeight="false" outlineLevel="0" collapsed="false">
      <c r="A18" s="21" t="s">
        <v>48</v>
      </c>
      <c r="B18" s="21" t="s">
        <v>49</v>
      </c>
      <c r="C18" s="21" t="s">
        <v>27</v>
      </c>
      <c r="H18" s="28"/>
      <c r="I18" s="28"/>
      <c r="J18" s="29"/>
      <c r="K18" s="13"/>
      <c r="L18" s="13"/>
      <c r="M18" s="11"/>
      <c r="N18" s="13"/>
      <c r="O18" s="13"/>
      <c r="P18" s="27"/>
      <c r="Q18" s="13"/>
      <c r="R18" s="28"/>
      <c r="S18" s="30"/>
      <c r="T18" s="27"/>
      <c r="U18" s="11"/>
      <c r="V18" s="13"/>
    </row>
    <row r="19" customFormat="false" ht="14.25" hidden="false" customHeight="false" outlineLevel="0" collapsed="false">
      <c r="A19" s="21" t="s">
        <v>50</v>
      </c>
      <c r="B19" s="21" t="s">
        <v>51</v>
      </c>
      <c r="C19" s="21" t="s">
        <v>27</v>
      </c>
      <c r="H19" s="28"/>
      <c r="I19" s="28"/>
      <c r="J19" s="29"/>
      <c r="K19" s="13" t="n">
        <v>150000</v>
      </c>
      <c r="L19" s="13" t="n">
        <f aca="false">+K19*1.2195</f>
        <v>182925</v>
      </c>
      <c r="M19" s="11" t="n">
        <v>12710.82</v>
      </c>
      <c r="N19" s="12" t="n">
        <v>15000</v>
      </c>
      <c r="O19" s="12" t="n">
        <v>50000</v>
      </c>
      <c r="P19" s="27"/>
      <c r="Q19" s="13"/>
      <c r="R19" s="28" t="n">
        <v>50000</v>
      </c>
      <c r="S19" s="30"/>
      <c r="T19" s="27"/>
      <c r="U19" s="11"/>
      <c r="V19" s="13"/>
    </row>
    <row r="20" customFormat="false" ht="14.25" hidden="false" customHeight="false" outlineLevel="0" collapsed="false">
      <c r="A20" s="21" t="s">
        <v>52</v>
      </c>
      <c r="B20" s="21" t="s">
        <v>53</v>
      </c>
      <c r="C20" s="21" t="s">
        <v>27</v>
      </c>
      <c r="H20" s="28"/>
      <c r="I20" s="28"/>
      <c r="K20" s="13" t="n">
        <v>380000</v>
      </c>
      <c r="L20" s="13" t="n">
        <f aca="false">+K20*1.2195</f>
        <v>463410</v>
      </c>
      <c r="M20" s="11" t="n">
        <v>12710.82</v>
      </c>
      <c r="N20" s="12" t="n">
        <v>15000</v>
      </c>
      <c r="O20" s="12" t="n">
        <f aca="false">(50000/30)*30</f>
        <v>50000</v>
      </c>
      <c r="P20" s="27"/>
      <c r="Q20" s="13"/>
      <c r="R20" s="28"/>
      <c r="S20" s="30"/>
      <c r="T20" s="27"/>
      <c r="U20" s="11" t="n">
        <v>78662</v>
      </c>
      <c r="V20" s="13"/>
    </row>
    <row r="21" customFormat="false" ht="14.25" hidden="false" customHeight="false" outlineLevel="0" collapsed="false">
      <c r="A21" s="21" t="s">
        <v>54</v>
      </c>
      <c r="B21" s="21" t="s">
        <v>55</v>
      </c>
      <c r="C21" s="21" t="s">
        <v>27</v>
      </c>
      <c r="K21" s="13" t="n">
        <v>70000</v>
      </c>
      <c r="L21" s="13" t="n">
        <f aca="false">+K21*1.2195</f>
        <v>85365</v>
      </c>
      <c r="M21" s="11" t="n">
        <v>10780</v>
      </c>
      <c r="N21" s="13"/>
      <c r="O21" s="12" t="n">
        <f aca="false">50000/30*30</f>
        <v>50000</v>
      </c>
      <c r="P21" s="27"/>
      <c r="Q21" s="27"/>
      <c r="R21" s="28"/>
      <c r="S21" s="34"/>
      <c r="T21" s="27"/>
      <c r="U21" s="11"/>
      <c r="V21" s="13"/>
    </row>
    <row r="22" customFormat="false" ht="14.25" hidden="false" customHeight="false" outlineLevel="0" collapsed="false">
      <c r="A22" s="21" t="s">
        <v>56</v>
      </c>
      <c r="B22" s="21" t="s">
        <v>57</v>
      </c>
      <c r="C22" s="21" t="s">
        <v>27</v>
      </c>
      <c r="D22" s="27"/>
      <c r="E22" s="27" t="n">
        <v>7</v>
      </c>
      <c r="F22" s="6" t="s">
        <v>86</v>
      </c>
      <c r="K22" s="13"/>
      <c r="L22" s="13"/>
      <c r="M22" s="11" t="n">
        <v>10832.1</v>
      </c>
      <c r="N22" s="13"/>
      <c r="O22" s="12" t="n">
        <f aca="false">50000/30*23</f>
        <v>38333.3333333333</v>
      </c>
      <c r="P22" s="27"/>
      <c r="Q22" s="27"/>
      <c r="R22" s="28"/>
      <c r="T22" s="27"/>
      <c r="U22" s="11"/>
      <c r="V22" s="13"/>
    </row>
    <row r="23" customFormat="false" ht="14.25" hidden="false" customHeight="false" outlineLevel="0" collapsed="false">
      <c r="A23" s="21" t="s">
        <v>58</v>
      </c>
      <c r="B23" s="21" t="s">
        <v>59</v>
      </c>
      <c r="C23" s="21" t="s">
        <v>27</v>
      </c>
      <c r="K23" s="13" t="n">
        <v>60000</v>
      </c>
      <c r="L23" s="13" t="n">
        <f aca="false">+K23*1.2195</f>
        <v>73170</v>
      </c>
      <c r="M23" s="11" t="n">
        <v>10780</v>
      </c>
      <c r="N23" s="27"/>
      <c r="O23" s="27"/>
      <c r="P23" s="27"/>
      <c r="Q23" s="27"/>
      <c r="R23" s="28"/>
      <c r="T23" s="35"/>
      <c r="U23" s="33"/>
      <c r="V23" s="27"/>
    </row>
    <row r="24" customFormat="false" ht="14.25" hidden="false" customHeight="false" outlineLevel="0" collapsed="false">
      <c r="A24" s="21" t="s">
        <v>60</v>
      </c>
      <c r="B24" s="21" t="s">
        <v>61</v>
      </c>
      <c r="C24" s="21" t="s">
        <v>27</v>
      </c>
      <c r="K24" s="13" t="n">
        <v>60000</v>
      </c>
      <c r="L24" s="13" t="n">
        <f aca="false">+K24*1.2195</f>
        <v>73170</v>
      </c>
      <c r="M24" s="11" t="n">
        <v>10780</v>
      </c>
      <c r="N24" s="27"/>
      <c r="O24" s="27"/>
      <c r="P24" s="27"/>
      <c r="Q24" s="27"/>
      <c r="R24" s="28"/>
      <c r="T24" s="35"/>
      <c r="U24" s="33"/>
      <c r="V24" s="27"/>
    </row>
    <row r="25" customFormat="false" ht="14.25" hidden="false" customHeight="false" outlineLevel="0" collapsed="false">
      <c r="A25" s="21" t="s">
        <v>63</v>
      </c>
      <c r="B25" s="21" t="s">
        <v>64</v>
      </c>
      <c r="C25" s="21" t="s">
        <v>27</v>
      </c>
      <c r="D25" s="27"/>
      <c r="E25" s="20" t="n">
        <v>30</v>
      </c>
      <c r="F25" s="6" t="s">
        <v>87</v>
      </c>
      <c r="K25" s="13"/>
      <c r="L25" s="13"/>
      <c r="M25" s="11"/>
      <c r="N25" s="27"/>
      <c r="O25" s="27"/>
      <c r="P25" s="27"/>
      <c r="Q25" s="27"/>
      <c r="R25" s="28"/>
      <c r="T25" s="35"/>
      <c r="U25" s="33"/>
      <c r="V25" s="27"/>
    </row>
    <row r="26" customFormat="false" ht="14.25" hidden="false" customHeight="false" outlineLevel="0" collapsed="false">
      <c r="A26" s="21" t="s">
        <v>66</v>
      </c>
      <c r="B26" s="21" t="s">
        <v>67</v>
      </c>
      <c r="C26" s="21" t="s">
        <v>27</v>
      </c>
      <c r="K26" s="13" t="n">
        <v>120000</v>
      </c>
      <c r="L26" s="13" t="n">
        <f aca="false">+K26*1.2195</f>
        <v>146340</v>
      </c>
      <c r="M26" s="11" t="n">
        <v>10780</v>
      </c>
      <c r="N26" s="27"/>
      <c r="O26" s="27"/>
      <c r="P26" s="27"/>
      <c r="Q26" s="27"/>
      <c r="R26" s="28"/>
      <c r="T26" s="35"/>
      <c r="U26" s="33"/>
      <c r="V26" s="27"/>
    </row>
    <row r="27" customFormat="false" ht="14.25" hidden="false" customHeight="false" outlineLevel="0" collapsed="false">
      <c r="A27" s="21" t="s">
        <v>68</v>
      </c>
      <c r="B27" s="21" t="s">
        <v>69</v>
      </c>
      <c r="C27" s="21" t="s">
        <v>27</v>
      </c>
      <c r="K27" s="13" t="n">
        <v>60000</v>
      </c>
      <c r="L27" s="13" t="n">
        <f aca="false">+K27*1.2195</f>
        <v>73170</v>
      </c>
      <c r="M27" s="11" t="n">
        <v>10780</v>
      </c>
      <c r="N27" s="27"/>
      <c r="O27" s="27"/>
      <c r="P27" s="27"/>
      <c r="Q27" s="27"/>
      <c r="R27" s="28"/>
      <c r="T27" s="35"/>
      <c r="U27" s="33"/>
      <c r="V27" s="27"/>
    </row>
    <row r="28" customFormat="false" ht="14.25" hidden="false" customHeight="false" outlineLevel="0" collapsed="false">
      <c r="A28" s="21" t="s">
        <v>70</v>
      </c>
      <c r="B28" s="21" t="s">
        <v>71</v>
      </c>
      <c r="C28" s="21" t="s">
        <v>27</v>
      </c>
      <c r="K28" s="13" t="n">
        <v>40000</v>
      </c>
      <c r="L28" s="13" t="n">
        <f aca="false">+K28*1.2195</f>
        <v>48780</v>
      </c>
      <c r="M28" s="11" t="n">
        <v>10780</v>
      </c>
      <c r="N28" s="27"/>
      <c r="O28" s="27"/>
      <c r="P28" s="27"/>
      <c r="Q28" s="27"/>
      <c r="R28" s="28" t="n">
        <v>100000</v>
      </c>
      <c r="T28" s="35"/>
      <c r="U28" s="33"/>
      <c r="V28" s="27"/>
    </row>
    <row r="29" customFormat="false" ht="14.25" hidden="false" customHeight="false" outlineLevel="0" collapsed="false">
      <c r="A29" s="21" t="s">
        <v>72</v>
      </c>
      <c r="B29" s="21" t="s">
        <v>73</v>
      </c>
      <c r="C29" s="21" t="s">
        <v>27</v>
      </c>
      <c r="K29" s="13"/>
      <c r="L29" s="13"/>
      <c r="M29" s="11" t="n">
        <v>10780</v>
      </c>
      <c r="N29" s="27"/>
      <c r="O29" s="27"/>
      <c r="P29" s="27"/>
      <c r="Q29" s="27"/>
      <c r="R29" s="28"/>
      <c r="T29" s="35"/>
      <c r="U29" s="33"/>
      <c r="V29" s="27"/>
    </row>
    <row r="30" customFormat="false" ht="14.25" hidden="false" customHeight="false" outlineLevel="0" collapsed="false">
      <c r="A30" s="21" t="s">
        <v>88</v>
      </c>
      <c r="B30" s="21" t="s">
        <v>89</v>
      </c>
      <c r="C30" s="21" t="s">
        <v>27</v>
      </c>
      <c r="D30" s="27" t="n">
        <v>23</v>
      </c>
      <c r="E30" s="27"/>
      <c r="F30" s="21" t="s">
        <v>90</v>
      </c>
      <c r="K30" s="13" t="n">
        <v>20000</v>
      </c>
      <c r="L30" s="13" t="n">
        <f aca="false">+K30*1.2195</f>
        <v>24390</v>
      </c>
      <c r="M30" s="11"/>
      <c r="N30" s="27"/>
      <c r="O30" s="27"/>
      <c r="P30" s="27"/>
      <c r="Q30" s="27"/>
      <c r="R30" s="28"/>
      <c r="T30" s="35"/>
      <c r="U30" s="33"/>
      <c r="V30" s="27"/>
    </row>
    <row r="31" customFormat="false" ht="14.25" hidden="false" customHeight="false" outlineLevel="0" collapsed="false">
      <c r="A31" s="21" t="s">
        <v>74</v>
      </c>
      <c r="B31" s="21" t="s">
        <v>75</v>
      </c>
      <c r="C31" s="21" t="s">
        <v>27</v>
      </c>
      <c r="K31" s="13"/>
      <c r="L31" s="13"/>
      <c r="M31" s="11" t="n">
        <v>10780</v>
      </c>
      <c r="N31" s="27"/>
      <c r="O31" s="27"/>
      <c r="P31" s="27"/>
      <c r="Q31" s="27"/>
      <c r="R31" s="28"/>
      <c r="T31" s="35"/>
      <c r="U31" s="33"/>
      <c r="V31" s="27"/>
    </row>
    <row r="32" customFormat="false" ht="14.25" hidden="false" customHeight="false" outlineLevel="0" collapsed="false">
      <c r="A32" s="21" t="s">
        <v>91</v>
      </c>
      <c r="B32" s="21" t="s">
        <v>92</v>
      </c>
      <c r="C32" s="21" t="s">
        <v>27</v>
      </c>
      <c r="D32" s="27" t="n">
        <v>17</v>
      </c>
      <c r="E32" s="27"/>
      <c r="F32" s="21" t="s">
        <v>93</v>
      </c>
      <c r="K32" s="13"/>
      <c r="L32" s="13"/>
      <c r="M32" s="11" t="n">
        <v>6300</v>
      </c>
      <c r="N32" s="27"/>
      <c r="O32" s="27"/>
      <c r="P32" s="27"/>
      <c r="Q32" s="27"/>
      <c r="R32" s="28"/>
      <c r="T32" s="35"/>
      <c r="U32" s="33"/>
      <c r="V32" s="27"/>
    </row>
    <row r="33" customFormat="false" ht="14.25" hidden="false" customHeight="false" outlineLevel="0" collapsed="false">
      <c r="A33" s="21" t="s">
        <v>76</v>
      </c>
      <c r="B33" s="21" t="s">
        <v>77</v>
      </c>
      <c r="C33" s="21" t="s">
        <v>27</v>
      </c>
      <c r="K33" s="13" t="n">
        <v>40000</v>
      </c>
      <c r="L33" s="13" t="n">
        <f aca="false">+K33*1.2195</f>
        <v>48780</v>
      </c>
      <c r="M33" s="11" t="n">
        <v>11820</v>
      </c>
      <c r="N33" s="27"/>
      <c r="O33" s="27"/>
      <c r="P33" s="27"/>
      <c r="Q33" s="27"/>
      <c r="R33" s="28" t="n">
        <v>150000</v>
      </c>
      <c r="T33" s="35"/>
      <c r="U33" s="33"/>
      <c r="V33" s="27"/>
    </row>
    <row r="34" customFormat="false" ht="14.25" hidden="false" customHeight="false" outlineLevel="0" collapsed="false">
      <c r="L34" s="13"/>
      <c r="M34" s="27"/>
      <c r="N34" s="27"/>
      <c r="O34" s="27"/>
      <c r="P34" s="27"/>
      <c r="Q34" s="27"/>
      <c r="R34" s="28"/>
      <c r="T34" s="35"/>
      <c r="U34" s="33"/>
      <c r="V34" s="27"/>
    </row>
    <row r="36" customFormat="false" ht="14.25" hidden="false" customHeight="false" outlineLevel="0" collapsed="false">
      <c r="G36" s="24" t="n">
        <f aca="false">SUM(G6:G35)</f>
        <v>0</v>
      </c>
      <c r="J36" s="36" t="n">
        <f aca="false">SUM(J6:J35)</f>
        <v>853787.711578379</v>
      </c>
      <c r="K36" s="36" t="n">
        <f aca="false">SUM(K6:K35)</f>
        <v>3050000</v>
      </c>
      <c r="L36" s="36" t="n">
        <f aca="false">SUM(L6:L35)</f>
        <v>3719475</v>
      </c>
      <c r="M36" s="36" t="n">
        <f aca="false">SUM(M6:M35)</f>
        <v>293995.96</v>
      </c>
      <c r="N36" s="36" t="n">
        <f aca="false">SUM(N6:N35)</f>
        <v>140000</v>
      </c>
      <c r="O36" s="36" t="n">
        <f aca="false">SUM(O6:O35)</f>
        <v>1198333.33333333</v>
      </c>
      <c r="P36" s="36" t="n">
        <f aca="false">SUM(P6:P35)</f>
        <v>40000</v>
      </c>
      <c r="R36" s="36" t="n">
        <f aca="false">SUM(R6:S35)</f>
        <v>1010000</v>
      </c>
      <c r="U36" s="36" t="n">
        <f aca="false">SUM(U6:V35)</f>
        <v>310582</v>
      </c>
      <c r="W36" s="36" t="n">
        <f aca="false">SUM(W6:W35)</f>
        <v>0</v>
      </c>
    </row>
    <row r="37" customFormat="false" ht="14.25" hidden="false" customHeight="false" outlineLevel="0" collapsed="false">
      <c r="L37" s="13"/>
    </row>
  </sheetData>
  <autoFilter ref="A5:C35">
    <sortState ref="A6:C35">
      <sortCondition ref="A6:A35" descending="1"/>
    </sortState>
  </autoFilter>
  <mergeCells count="3">
    <mergeCell ref="A1:B1"/>
    <mergeCell ref="A2:B2"/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J153"/>
  <sheetViews>
    <sheetView showFormulas="false" showGridLines="true" showRowColHeaders="true" showZeros="true" rightToLeft="false" tabSelected="false" showOutlineSymbols="true" defaultGridColor="true" view="normal" topLeftCell="A130" colorId="64" zoomScale="100" zoomScaleNormal="100" zoomScalePageLayoutView="100" workbookViewId="0">
      <selection pane="topLeft" activeCell="J150" activeCellId="0" sqref="J150"/>
    </sheetView>
  </sheetViews>
  <sheetFormatPr defaultColWidth="11.5625" defaultRowHeight="14.25" customHeight="false" zeroHeight="false" outlineLevelRow="0" outlineLevelCol="0"/>
  <cols>
    <col collapsed="false" customWidth="true" hidden="false" outlineLevel="0" max="3" min="3" style="0" width="40.67"/>
    <col collapsed="false" customWidth="true" hidden="false" outlineLevel="0" max="4" min="4" style="0" width="12"/>
    <col collapsed="false" customWidth="true" hidden="false" outlineLevel="0" max="5" min="5" style="0" width="12.67"/>
    <col collapsed="false" customWidth="true" hidden="false" outlineLevel="0" max="6" min="6" style="0" width="12.56"/>
    <col collapsed="false" customWidth="true" hidden="false" outlineLevel="0" max="7" min="7" style="0" width="12"/>
  </cols>
  <sheetData>
    <row r="1" customFormat="false" ht="14.25" hidden="false" customHeight="false" outlineLevel="0" collapsed="false">
      <c r="J1" s="6" t="s">
        <v>94</v>
      </c>
    </row>
    <row r="2" customFormat="false" ht="14.25" hidden="false" customHeight="false" outlineLevel="0" collapsed="false">
      <c r="C2" s="6" t="s">
        <v>95</v>
      </c>
      <c r="D2" s="12" t="n">
        <v>110648207</v>
      </c>
      <c r="F2" s="0" t="s">
        <v>22</v>
      </c>
      <c r="G2" s="0" t="s">
        <v>23</v>
      </c>
      <c r="H2" s="5" t="s">
        <v>27</v>
      </c>
      <c r="J2" s="12" t="n">
        <v>729165</v>
      </c>
    </row>
    <row r="3" customFormat="false" ht="14.25" hidden="false" customHeight="false" outlineLevel="0" collapsed="false">
      <c r="C3" s="0" t="s">
        <v>96</v>
      </c>
      <c r="D3" s="12" t="n">
        <v>117271351</v>
      </c>
      <c r="F3" s="0" t="s">
        <v>25</v>
      </c>
      <c r="G3" s="0" t="s">
        <v>26</v>
      </c>
      <c r="H3" s="5" t="s">
        <v>27</v>
      </c>
      <c r="J3" s="12" t="n">
        <v>97222</v>
      </c>
    </row>
    <row r="4" customFormat="false" ht="14.25" hidden="false" customHeight="false" outlineLevel="0" collapsed="false">
      <c r="C4" s="0" t="s">
        <v>97</v>
      </c>
      <c r="D4" s="12" t="n">
        <v>81387365</v>
      </c>
      <c r="F4" s="0" t="s">
        <v>34</v>
      </c>
      <c r="G4" s="0" t="s">
        <v>35</v>
      </c>
      <c r="H4" s="5" t="s">
        <v>27</v>
      </c>
      <c r="J4" s="12" t="n">
        <v>77778</v>
      </c>
    </row>
    <row r="5" customFormat="false" ht="14.25" hidden="false" customHeight="false" outlineLevel="0" collapsed="false">
      <c r="D5" s="37" t="n">
        <f aca="false">SUM(D2:D4)</f>
        <v>309306923</v>
      </c>
      <c r="F5" s="0" t="s">
        <v>42</v>
      </c>
      <c r="G5" s="0" t="s">
        <v>43</v>
      </c>
      <c r="H5" s="5" t="s">
        <v>27</v>
      </c>
      <c r="J5" s="12" t="n">
        <v>97222</v>
      </c>
    </row>
    <row r="6" customFormat="false" ht="14.25" hidden="false" customHeight="false" outlineLevel="0" collapsed="false">
      <c r="F6" s="0" t="s">
        <v>44</v>
      </c>
      <c r="G6" s="0" t="s">
        <v>45</v>
      </c>
      <c r="H6" s="5" t="s">
        <v>27</v>
      </c>
      <c r="J6" s="12" t="n">
        <v>96653</v>
      </c>
    </row>
    <row r="7" customFormat="false" ht="14.25" hidden="false" customHeight="false" outlineLevel="0" collapsed="false">
      <c r="H7" s="5"/>
      <c r="J7" s="12" t="n">
        <f aca="false">SUM(J2:J6)</f>
        <v>1098040</v>
      </c>
    </row>
    <row r="8" customFormat="false" ht="14.25" hidden="false" customHeight="false" outlineLevel="0" collapsed="false">
      <c r="J8" s="12"/>
    </row>
    <row r="9" customFormat="false" ht="14.25" hidden="false" customHeight="false" outlineLevel="0" collapsed="false">
      <c r="C9" s="6"/>
      <c r="D9" s="12"/>
      <c r="J9" s="0" t="s">
        <v>98</v>
      </c>
    </row>
    <row r="10" customFormat="false" ht="14.25" hidden="false" customHeight="false" outlineLevel="0" collapsed="false">
      <c r="C10" s="0" t="s">
        <v>96</v>
      </c>
      <c r="D10" s="12" t="n">
        <v>117271351</v>
      </c>
      <c r="F10" s="0" t="s">
        <v>22</v>
      </c>
      <c r="G10" s="0" t="s">
        <v>23</v>
      </c>
      <c r="H10" s="5" t="s">
        <v>27</v>
      </c>
      <c r="I10" s="38" t="n">
        <f aca="false">+J2/$D$5</f>
        <v>0.00235741571164251</v>
      </c>
      <c r="J10" s="8" t="n">
        <f aca="false">+$D$13*I10</f>
        <v>734877.272870207</v>
      </c>
    </row>
    <row r="11" customFormat="false" ht="14.25" hidden="false" customHeight="false" outlineLevel="0" collapsed="false">
      <c r="C11" s="0" t="s">
        <v>97</v>
      </c>
      <c r="D11" s="12" t="n">
        <v>81387365</v>
      </c>
      <c r="F11" s="0" t="s">
        <v>25</v>
      </c>
      <c r="G11" s="0" t="s">
        <v>26</v>
      </c>
      <c r="H11" s="5" t="s">
        <v>27</v>
      </c>
      <c r="I11" s="38" t="n">
        <f aca="false">+J3/$D$5</f>
        <v>0.000314322094885668</v>
      </c>
      <c r="J11" s="8" t="n">
        <f aca="false">+$D$13*I11</f>
        <v>97983.6363826942</v>
      </c>
    </row>
    <row r="12" customFormat="false" ht="14.25" hidden="false" customHeight="false" outlineLevel="0" collapsed="false">
      <c r="C12" s="0" t="s">
        <v>94</v>
      </c>
      <c r="D12" s="12" t="n">
        <v>113071315</v>
      </c>
      <c r="F12" s="0" t="s">
        <v>34</v>
      </c>
      <c r="G12" s="0" t="s">
        <v>35</v>
      </c>
      <c r="H12" s="5" t="s">
        <v>27</v>
      </c>
      <c r="I12" s="38" t="n">
        <f aca="false">+J4/$D$5</f>
        <v>0.000251458969122395</v>
      </c>
      <c r="J12" s="8" t="n">
        <f aca="false">+$D$13*I12</f>
        <v>78387.3122397522</v>
      </c>
    </row>
    <row r="13" customFormat="false" ht="14.25" hidden="false" customHeight="false" outlineLevel="0" collapsed="false">
      <c r="D13" s="22" t="n">
        <f aca="false">SUM(D10:D12)</f>
        <v>311730031</v>
      </c>
      <c r="F13" s="0" t="s">
        <v>42</v>
      </c>
      <c r="G13" s="0" t="s">
        <v>43</v>
      </c>
      <c r="H13" s="5" t="s">
        <v>27</v>
      </c>
      <c r="I13" s="38" t="n">
        <f aca="false">+J5/$D$5</f>
        <v>0.000314322094885668</v>
      </c>
      <c r="J13" s="8" t="n">
        <f aca="false">+$D$13*I13</f>
        <v>97983.6363826942</v>
      </c>
    </row>
    <row r="14" customFormat="false" ht="14.25" hidden="false" customHeight="false" outlineLevel="0" collapsed="false">
      <c r="F14" s="0" t="s">
        <v>44</v>
      </c>
      <c r="G14" s="0" t="s">
        <v>45</v>
      </c>
      <c r="H14" s="5" t="s">
        <v>27</v>
      </c>
      <c r="I14" s="38" t="n">
        <f aca="false">+J6/$D$5</f>
        <v>0.000312482498168979</v>
      </c>
      <c r="J14" s="8" t="n">
        <f aca="false">+$D$13*I14</f>
        <v>97410.1788411732</v>
      </c>
    </row>
    <row r="15" customFormat="false" ht="14.25" hidden="false" customHeight="false" outlineLevel="0" collapsed="false">
      <c r="H15" s="5"/>
      <c r="J15" s="8" t="n">
        <f aca="false">SUM(J10:J14)</f>
        <v>1106642.03671652</v>
      </c>
    </row>
    <row r="17" customFormat="false" ht="14.25" hidden="false" customHeight="false" outlineLevel="0" collapsed="false">
      <c r="C17" s="6"/>
      <c r="D17" s="12"/>
      <c r="J17" s="6" t="s">
        <v>99</v>
      </c>
    </row>
    <row r="18" customFormat="false" ht="14.25" hidden="false" customHeight="false" outlineLevel="0" collapsed="false">
      <c r="C18" s="0" t="s">
        <v>97</v>
      </c>
      <c r="D18" s="12" t="n">
        <v>81387365</v>
      </c>
      <c r="F18" s="0" t="s">
        <v>22</v>
      </c>
      <c r="G18" s="0" t="s">
        <v>23</v>
      </c>
      <c r="H18" s="5" t="s">
        <v>27</v>
      </c>
      <c r="I18" s="38" t="n">
        <f aca="false">+J10/$D$13</f>
        <v>0.00235741571164251</v>
      </c>
      <c r="J18" s="8" t="n">
        <f aca="false">+$D$21*I18</f>
        <v>677376.011569906</v>
      </c>
    </row>
    <row r="19" customFormat="false" ht="14.25" hidden="false" customHeight="false" outlineLevel="0" collapsed="false">
      <c r="C19" s="0" t="s">
        <v>94</v>
      </c>
      <c r="D19" s="12" t="n">
        <v>113071315</v>
      </c>
      <c r="F19" s="0" t="s">
        <v>25</v>
      </c>
      <c r="G19" s="0" t="s">
        <v>26</v>
      </c>
      <c r="H19" s="5" t="s">
        <v>27</v>
      </c>
      <c r="I19" s="38" t="n">
        <f aca="false">+J11/$D$13</f>
        <v>0.000314322094885668</v>
      </c>
      <c r="J19" s="8" t="n">
        <f aca="false">+$D$21*I19</f>
        <v>90316.8015426541</v>
      </c>
    </row>
    <row r="20" customFormat="false" ht="14.25" hidden="false" customHeight="false" outlineLevel="0" collapsed="false">
      <c r="C20" s="6" t="s">
        <v>98</v>
      </c>
      <c r="D20" s="12" t="n">
        <v>92879700</v>
      </c>
      <c r="F20" s="0" t="s">
        <v>34</v>
      </c>
      <c r="G20" s="0" t="s">
        <v>35</v>
      </c>
      <c r="H20" s="5" t="s">
        <v>27</v>
      </c>
      <c r="I20" s="38" t="n">
        <f aca="false">+J12/$D$13</f>
        <v>0.000251458969122395</v>
      </c>
      <c r="J20" s="8" t="n">
        <f aca="false">+$D$21*I20</f>
        <v>72253.812824099</v>
      </c>
    </row>
    <row r="21" customFormat="false" ht="14.25" hidden="false" customHeight="false" outlineLevel="0" collapsed="false">
      <c r="D21" s="22" t="n">
        <f aca="false">SUM(D18:D20)</f>
        <v>287338380</v>
      </c>
      <c r="F21" s="0" t="s">
        <v>42</v>
      </c>
      <c r="G21" s="0" t="s">
        <v>43</v>
      </c>
      <c r="H21" s="5" t="s">
        <v>27</v>
      </c>
      <c r="I21" s="38" t="n">
        <f aca="false">+J13/$D$13</f>
        <v>0.000314322094885668</v>
      </c>
      <c r="J21" s="8" t="n">
        <f aca="false">+$D$21*I21</f>
        <v>90316.8015426541</v>
      </c>
    </row>
    <row r="22" customFormat="false" ht="14.25" hidden="false" customHeight="false" outlineLevel="0" collapsed="false">
      <c r="F22" s="0" t="s">
        <v>44</v>
      </c>
      <c r="G22" s="0" t="s">
        <v>45</v>
      </c>
      <c r="H22" s="5" t="s">
        <v>27</v>
      </c>
      <c r="I22" s="38" t="n">
        <f aca="false">+J14/$D$13</f>
        <v>0.000312482498168979</v>
      </c>
      <c r="J22" s="8" t="n">
        <f aca="false">+$D$21*I22</f>
        <v>89788.2148022274</v>
      </c>
    </row>
    <row r="23" customFormat="false" ht="14.25" hidden="false" customHeight="false" outlineLevel="0" collapsed="false">
      <c r="H23" s="5"/>
      <c r="J23" s="8" t="n">
        <f aca="false">SUM(J18:J22)</f>
        <v>1020051.64228154</v>
      </c>
    </row>
    <row r="25" customFormat="false" ht="14.25" hidden="false" customHeight="false" outlineLevel="0" collapsed="false">
      <c r="C25" s="6"/>
      <c r="D25" s="12"/>
      <c r="J25" s="6" t="s">
        <v>100</v>
      </c>
    </row>
    <row r="26" customFormat="false" ht="14.25" hidden="false" customHeight="false" outlineLevel="0" collapsed="false">
      <c r="C26" s="0" t="s">
        <v>94</v>
      </c>
      <c r="D26" s="12" t="n">
        <v>113071315</v>
      </c>
      <c r="F26" s="0" t="s">
        <v>22</v>
      </c>
      <c r="G26" s="0" t="s">
        <v>23</v>
      </c>
      <c r="H26" s="5" t="s">
        <v>27</v>
      </c>
      <c r="I26" s="38" t="n">
        <f aca="false">+J18/$D$21</f>
        <v>0.00235741571164251</v>
      </c>
      <c r="J26" s="8" t="n">
        <f aca="false">+$D$29*I26</f>
        <v>739572.019111629</v>
      </c>
    </row>
    <row r="27" customFormat="false" ht="14.25" hidden="false" customHeight="false" outlineLevel="0" collapsed="false">
      <c r="C27" s="6" t="s">
        <v>98</v>
      </c>
      <c r="D27" s="12" t="n">
        <v>92879700</v>
      </c>
      <c r="F27" s="0" t="s">
        <v>25</v>
      </c>
      <c r="G27" s="0" t="s">
        <v>26</v>
      </c>
      <c r="H27" s="5" t="s">
        <v>27</v>
      </c>
      <c r="I27" s="38" t="n">
        <f aca="false">+J19/$D$21</f>
        <v>0.000314322094885668</v>
      </c>
      <c r="J27" s="8" t="n">
        <f aca="false">+$D$29*I27</f>
        <v>98609.6025482171</v>
      </c>
    </row>
    <row r="28" customFormat="false" ht="14.25" hidden="false" customHeight="false" outlineLevel="0" collapsed="false">
      <c r="C28" s="6" t="s">
        <v>99</v>
      </c>
      <c r="D28" s="12" t="n">
        <v>107770496</v>
      </c>
      <c r="F28" s="0" t="s">
        <v>34</v>
      </c>
      <c r="G28" s="0" t="s">
        <v>35</v>
      </c>
      <c r="H28" s="5" t="s">
        <v>27</v>
      </c>
      <c r="I28" s="38" t="n">
        <f aca="false">+J20/$D$21</f>
        <v>0.000251458969122395</v>
      </c>
      <c r="J28" s="8" t="n">
        <f aca="false">+$D$29*I28</f>
        <v>78888.0877475801</v>
      </c>
    </row>
    <row r="29" customFormat="false" ht="14.25" hidden="false" customHeight="false" outlineLevel="0" collapsed="false">
      <c r="D29" s="22" t="n">
        <f aca="false">SUM(D26:D28)</f>
        <v>313721511</v>
      </c>
      <c r="F29" s="0" t="s">
        <v>42</v>
      </c>
      <c r="G29" s="0" t="s">
        <v>43</v>
      </c>
      <c r="H29" s="5" t="s">
        <v>27</v>
      </c>
      <c r="I29" s="38" t="n">
        <f aca="false">+J21/$D$21</f>
        <v>0.000314322094885668</v>
      </c>
      <c r="J29" s="8" t="n">
        <f aca="false">+$D$29*I29</f>
        <v>98609.6025482171</v>
      </c>
    </row>
    <row r="30" customFormat="false" ht="14.25" hidden="false" customHeight="false" outlineLevel="0" collapsed="false">
      <c r="F30" s="0" t="s">
        <v>44</v>
      </c>
      <c r="G30" s="0" t="s">
        <v>45</v>
      </c>
      <c r="H30" s="5" t="s">
        <v>27</v>
      </c>
      <c r="I30" s="38" t="n">
        <f aca="false">+J22/$D$21</f>
        <v>0.000312482498168979</v>
      </c>
      <c r="J30" s="8" t="n">
        <f aca="false">+$D$29*I30</f>
        <v>98032.4814866268</v>
      </c>
    </row>
    <row r="31" customFormat="false" ht="14.25" hidden="false" customHeight="false" outlineLevel="0" collapsed="false">
      <c r="H31" s="5"/>
      <c r="J31" s="8" t="n">
        <f aca="false">SUM(J26:J30)</f>
        <v>1113711.79344227</v>
      </c>
    </row>
    <row r="33" customFormat="false" ht="14.25" hidden="false" customHeight="false" outlineLevel="0" collapsed="false">
      <c r="C33" s="6"/>
      <c r="D33" s="12"/>
      <c r="J33" s="6" t="s">
        <v>101</v>
      </c>
    </row>
    <row r="34" customFormat="false" ht="14.25" hidden="false" customHeight="false" outlineLevel="0" collapsed="false">
      <c r="C34" s="6" t="s">
        <v>98</v>
      </c>
      <c r="D34" s="12" t="n">
        <v>92879700</v>
      </c>
      <c r="F34" s="0" t="s">
        <v>22</v>
      </c>
      <c r="G34" s="0" t="s">
        <v>23</v>
      </c>
      <c r="H34" s="5" t="s">
        <v>27</v>
      </c>
      <c r="I34" s="38" t="n">
        <f aca="false">+J26/$D$29</f>
        <v>0.00235741571164251</v>
      </c>
      <c r="J34" s="8" t="n">
        <f aca="false">+$D$37*I34</f>
        <v>656094.86085305</v>
      </c>
    </row>
    <row r="35" customFormat="false" ht="14.25" hidden="false" customHeight="false" outlineLevel="0" collapsed="false">
      <c r="C35" s="6" t="s">
        <v>99</v>
      </c>
      <c r="D35" s="12" t="n">
        <v>107770496</v>
      </c>
      <c r="F35" s="0" t="s">
        <v>25</v>
      </c>
      <c r="G35" s="0" t="s">
        <v>26</v>
      </c>
      <c r="H35" s="5" t="s">
        <v>27</v>
      </c>
      <c r="I35" s="38" t="n">
        <f aca="false">+J27/$D$29</f>
        <v>0.000314322094885668</v>
      </c>
      <c r="J35" s="8" t="n">
        <f aca="false">+$D$37*I35</f>
        <v>87479.3147804066</v>
      </c>
    </row>
    <row r="36" customFormat="false" ht="14.25" hidden="false" customHeight="false" outlineLevel="0" collapsed="false">
      <c r="C36" s="6" t="s">
        <v>100</v>
      </c>
      <c r="D36" s="12" t="n">
        <v>77660862</v>
      </c>
      <c r="F36" s="0" t="s">
        <v>34</v>
      </c>
      <c r="G36" s="0" t="s">
        <v>35</v>
      </c>
      <c r="H36" s="5" t="s">
        <v>27</v>
      </c>
      <c r="I36" s="38" t="n">
        <f aca="false">+J28/$D$29</f>
        <v>0.000251458969122395</v>
      </c>
      <c r="J36" s="8" t="n">
        <f aca="false">+$D$37*I36</f>
        <v>69983.8117400431</v>
      </c>
    </row>
    <row r="37" customFormat="false" ht="14.25" hidden="false" customHeight="false" outlineLevel="0" collapsed="false">
      <c r="D37" s="22" t="n">
        <f aca="false">SUM(D34:D36)</f>
        <v>278311058</v>
      </c>
      <c r="F37" s="0" t="s">
        <v>42</v>
      </c>
      <c r="G37" s="0" t="s">
        <v>43</v>
      </c>
      <c r="H37" s="5" t="s">
        <v>27</v>
      </c>
      <c r="I37" s="38" t="n">
        <f aca="false">+J29/$D$29</f>
        <v>0.000314322094885668</v>
      </c>
      <c r="J37" s="8" t="n">
        <f aca="false">+$D$37*I37</f>
        <v>87479.3147804066</v>
      </c>
    </row>
    <row r="38" customFormat="false" ht="14.25" hidden="false" customHeight="false" outlineLevel="0" collapsed="false">
      <c r="F38" s="0" t="s">
        <v>44</v>
      </c>
      <c r="G38" s="0" t="s">
        <v>45</v>
      </c>
      <c r="H38" s="5" t="s">
        <v>27</v>
      </c>
      <c r="I38" s="38" t="n">
        <f aca="false">+J30/$D$29</f>
        <v>0.000312482498168979</v>
      </c>
      <c r="J38" s="8" t="n">
        <f aca="false">+$D$37*I38</f>
        <v>86967.3346718916</v>
      </c>
    </row>
    <row r="39" customFormat="false" ht="14.25" hidden="false" customHeight="false" outlineLevel="0" collapsed="false">
      <c r="H39" s="5"/>
      <c r="J39" s="8" t="n">
        <f aca="false">SUM(J34:J38)</f>
        <v>988004.636825798</v>
      </c>
    </row>
    <row r="41" customFormat="false" ht="14.25" hidden="false" customHeight="false" outlineLevel="0" collapsed="false">
      <c r="C41" s="6"/>
      <c r="D41" s="12"/>
      <c r="J41" s="6" t="s">
        <v>102</v>
      </c>
    </row>
    <row r="42" customFormat="false" ht="14.25" hidden="false" customHeight="false" outlineLevel="0" collapsed="false">
      <c r="C42" s="6" t="s">
        <v>99</v>
      </c>
      <c r="D42" s="12" t="n">
        <v>107770496</v>
      </c>
      <c r="F42" s="0" t="s">
        <v>22</v>
      </c>
      <c r="G42" s="0" t="s">
        <v>23</v>
      </c>
      <c r="H42" s="5" t="s">
        <v>27</v>
      </c>
      <c r="I42" s="38" t="n">
        <f aca="false">+J34/D37</f>
        <v>0.00235741571164251</v>
      </c>
      <c r="J42" s="8" t="n">
        <f aca="false">+D45*I42</f>
        <v>572470.944036759</v>
      </c>
    </row>
    <row r="43" customFormat="false" ht="14.25" hidden="false" customHeight="false" outlineLevel="0" collapsed="false">
      <c r="C43" s="6" t="s">
        <v>100</v>
      </c>
      <c r="D43" s="12" t="n">
        <v>77660862</v>
      </c>
      <c r="F43" s="0" t="s">
        <v>25</v>
      </c>
      <c r="G43" s="0" t="s">
        <v>26</v>
      </c>
      <c r="H43" s="5" t="s">
        <v>27</v>
      </c>
      <c r="I43" s="38" t="n">
        <f aca="false">+J35/D37</f>
        <v>0.000314322094885668</v>
      </c>
      <c r="J43" s="8" t="n">
        <f aca="false">+D45*I43</f>
        <v>76329.4592049011</v>
      </c>
    </row>
    <row r="44" customFormat="false" ht="14.25" hidden="false" customHeight="false" outlineLevel="0" collapsed="false">
      <c r="C44" s="6" t="s">
        <v>101</v>
      </c>
      <c r="D44" s="12" t="n">
        <v>57406993</v>
      </c>
      <c r="F44" s="0" t="s">
        <v>34</v>
      </c>
      <c r="G44" s="0" t="s">
        <v>35</v>
      </c>
      <c r="H44" s="5" t="s">
        <v>27</v>
      </c>
      <c r="I44" s="38" t="n">
        <f aca="false">+J36/D37</f>
        <v>0.000251458969122395</v>
      </c>
      <c r="J44" s="8" t="n">
        <f aca="false">+D45*I44</f>
        <v>61063.8814058423</v>
      </c>
    </row>
    <row r="45" customFormat="false" ht="14.25" hidden="false" customHeight="false" outlineLevel="0" collapsed="false">
      <c r="D45" s="22" t="n">
        <f aca="false">SUM(D42:D44)</f>
        <v>242838351</v>
      </c>
      <c r="F45" s="0" t="s">
        <v>42</v>
      </c>
      <c r="G45" s="0" t="s">
        <v>43</v>
      </c>
      <c r="H45" s="5" t="s">
        <v>27</v>
      </c>
      <c r="I45" s="38" t="n">
        <f aca="false">+J37/D37</f>
        <v>0.000314322094885668</v>
      </c>
      <c r="J45" s="8" t="n">
        <f aca="false">+D45*I45</f>
        <v>76329.4592049011</v>
      </c>
    </row>
    <row r="46" customFormat="false" ht="14.25" hidden="false" customHeight="false" outlineLevel="0" collapsed="false">
      <c r="F46" s="0" t="s">
        <v>44</v>
      </c>
      <c r="G46" s="0" t="s">
        <v>45</v>
      </c>
      <c r="H46" s="5" t="s">
        <v>27</v>
      </c>
      <c r="I46" s="38" t="n">
        <f aca="false">+J38/D37</f>
        <v>0.000312482498168979</v>
      </c>
      <c r="J46" s="8" t="n">
        <f aca="false">+D45*I46</f>
        <v>75882.7345717154</v>
      </c>
    </row>
    <row r="47" customFormat="false" ht="14.25" hidden="false" customHeight="false" outlineLevel="0" collapsed="false">
      <c r="H47" s="5"/>
      <c r="J47" s="8" t="n">
        <f aca="false">SUM(J42:J46)</f>
        <v>862076.478424119</v>
      </c>
    </row>
    <row r="49" customFormat="false" ht="14.25" hidden="false" customHeight="false" outlineLevel="0" collapsed="false">
      <c r="C49" s="6"/>
      <c r="D49" s="12"/>
      <c r="J49" s="6" t="s">
        <v>103</v>
      </c>
    </row>
    <row r="50" customFormat="false" ht="14.25" hidden="false" customHeight="false" outlineLevel="0" collapsed="false">
      <c r="C50" s="6" t="s">
        <v>100</v>
      </c>
      <c r="D50" s="12" t="n">
        <v>77660862</v>
      </c>
      <c r="F50" s="0" t="s">
        <v>22</v>
      </c>
      <c r="G50" s="0" t="s">
        <v>23</v>
      </c>
      <c r="H50" s="5" t="s">
        <v>27</v>
      </c>
      <c r="I50" s="38" t="n">
        <f aca="false">+J42/D45</f>
        <v>0.00235741571164251</v>
      </c>
      <c r="J50" s="8" t="n">
        <f aca="false">+D53*I50</f>
        <v>566057.417787057</v>
      </c>
    </row>
    <row r="51" customFormat="false" ht="14.25" hidden="false" customHeight="false" outlineLevel="0" collapsed="false">
      <c r="C51" s="6" t="s">
        <v>101</v>
      </c>
      <c r="D51" s="12" t="n">
        <v>57406993</v>
      </c>
      <c r="F51" s="0" t="s">
        <v>25</v>
      </c>
      <c r="G51" s="0" t="s">
        <v>26</v>
      </c>
      <c r="H51" s="5" t="s">
        <v>27</v>
      </c>
      <c r="I51" s="38" t="n">
        <f aca="false">+J43/D45</f>
        <v>0.000314322094885668</v>
      </c>
      <c r="J51" s="8" t="n">
        <f aca="false">+D53*I51</f>
        <v>75474.3223716076</v>
      </c>
    </row>
    <row r="52" customFormat="false" ht="14.25" hidden="false" customHeight="false" outlineLevel="0" collapsed="false">
      <c r="C52" s="6" t="s">
        <v>102</v>
      </c>
      <c r="D52" s="12" t="n">
        <v>105049921</v>
      </c>
      <c r="F52" s="0" t="s">
        <v>34</v>
      </c>
      <c r="G52" s="0" t="s">
        <v>35</v>
      </c>
      <c r="H52" s="5" t="s">
        <v>27</v>
      </c>
      <c r="I52" s="38" t="n">
        <f aca="false">+J44/D45</f>
        <v>0.000251458969122395</v>
      </c>
      <c r="J52" s="8" t="n">
        <f aca="false">+D53*I52</f>
        <v>60379.7684209222</v>
      </c>
    </row>
    <row r="53" customFormat="false" ht="14.25" hidden="false" customHeight="false" outlineLevel="0" collapsed="false">
      <c r="D53" s="22" t="n">
        <f aca="false">SUM(D50:D52)</f>
        <v>240117776</v>
      </c>
      <c r="F53" s="0" t="s">
        <v>42</v>
      </c>
      <c r="G53" s="0" t="s">
        <v>43</v>
      </c>
      <c r="H53" s="5" t="s">
        <v>27</v>
      </c>
      <c r="I53" s="38" t="n">
        <f aca="false">+J45/D45</f>
        <v>0.000314322094885668</v>
      </c>
      <c r="J53" s="8" t="n">
        <f aca="false">+D53*I53</f>
        <v>75474.3223716076</v>
      </c>
    </row>
    <row r="54" customFormat="false" ht="14.25" hidden="false" customHeight="false" outlineLevel="0" collapsed="false">
      <c r="F54" s="0" t="s">
        <v>44</v>
      </c>
      <c r="G54" s="0" t="s">
        <v>45</v>
      </c>
      <c r="H54" s="5" t="s">
        <v>27</v>
      </c>
      <c r="I54" s="38" t="n">
        <f aca="false">+J46/D45</f>
        <v>0.000312482498168979</v>
      </c>
      <c r="J54" s="8" t="n">
        <f aca="false">+D53*I54</f>
        <v>75032.6024992593</v>
      </c>
    </row>
    <row r="55" customFormat="false" ht="14.25" hidden="false" customHeight="false" outlineLevel="0" collapsed="false">
      <c r="H55" s="5"/>
      <c r="J55" s="8" t="n">
        <f aca="false">SUM(J50:J54)</f>
        <v>852418.433450453</v>
      </c>
    </row>
    <row r="57" customFormat="false" ht="14.25" hidden="false" customHeight="false" outlineLevel="0" collapsed="false">
      <c r="C57" s="6"/>
      <c r="D57" s="12"/>
      <c r="J57" s="6" t="s">
        <v>104</v>
      </c>
    </row>
    <row r="58" customFormat="false" ht="14.25" hidden="false" customHeight="false" outlineLevel="0" collapsed="false">
      <c r="C58" s="6" t="s">
        <v>101</v>
      </c>
      <c r="D58" s="12" t="n">
        <v>57406993</v>
      </c>
      <c r="F58" s="0" t="s">
        <v>22</v>
      </c>
      <c r="G58" s="0" t="s">
        <v>23</v>
      </c>
      <c r="H58" s="5" t="s">
        <v>27</v>
      </c>
      <c r="I58" s="38" t="n">
        <f aca="false">+J50/D53</f>
        <v>0.00235741571164251</v>
      </c>
      <c r="J58" s="8" t="n">
        <f aca="false">+D61*I58</f>
        <v>620524.581340182</v>
      </c>
    </row>
    <row r="59" customFormat="false" ht="14.25" hidden="false" customHeight="false" outlineLevel="0" collapsed="false">
      <c r="C59" s="6" t="s">
        <v>102</v>
      </c>
      <c r="D59" s="12" t="n">
        <v>105049921</v>
      </c>
      <c r="F59" s="0" t="s">
        <v>25</v>
      </c>
      <c r="G59" s="0" t="s">
        <v>26</v>
      </c>
      <c r="H59" s="5" t="s">
        <v>27</v>
      </c>
      <c r="I59" s="38" t="n">
        <f aca="false">+J51/D53</f>
        <v>0.000314322094885668</v>
      </c>
      <c r="J59" s="8" t="n">
        <f aca="false">+D61*I59</f>
        <v>82736.6108453576</v>
      </c>
    </row>
    <row r="60" customFormat="false" ht="14.25" hidden="false" customHeight="false" outlineLevel="0" collapsed="false">
      <c r="C60" s="6" t="s">
        <v>103</v>
      </c>
      <c r="D60" s="29" t="n">
        <v>100765469</v>
      </c>
      <c r="F60" s="0" t="s">
        <v>34</v>
      </c>
      <c r="G60" s="0" t="s">
        <v>35</v>
      </c>
      <c r="H60" s="5" t="s">
        <v>27</v>
      </c>
      <c r="I60" s="38" t="n">
        <f aca="false">+J52/D53</f>
        <v>0.000251458969122395</v>
      </c>
      <c r="J60" s="8" t="n">
        <f aca="false">+D61*I60</f>
        <v>66189.6290791202</v>
      </c>
    </row>
    <row r="61" customFormat="false" ht="14.25" hidden="false" customHeight="false" outlineLevel="0" collapsed="false">
      <c r="D61" s="22" t="n">
        <f aca="false">SUM(D58:D60)</f>
        <v>263222383</v>
      </c>
      <c r="F61" s="0" t="s">
        <v>42</v>
      </c>
      <c r="G61" s="0" t="s">
        <v>43</v>
      </c>
      <c r="H61" s="5" t="s">
        <v>27</v>
      </c>
      <c r="I61" s="38" t="n">
        <f aca="false">+J53/D53</f>
        <v>0.000314322094885668</v>
      </c>
      <c r="J61" s="8" t="n">
        <f aca="false">+D61*I61</f>
        <v>82736.6108453576</v>
      </c>
    </row>
    <row r="62" customFormat="false" ht="14.25" hidden="false" customHeight="false" outlineLevel="0" collapsed="false">
      <c r="F62" s="0" t="s">
        <v>44</v>
      </c>
      <c r="G62" s="0" t="s">
        <v>45</v>
      </c>
      <c r="H62" s="5" t="s">
        <v>27</v>
      </c>
      <c r="I62" s="38" t="n">
        <f aca="false">+J54/D53</f>
        <v>0.000312482498168979</v>
      </c>
      <c r="J62" s="8" t="n">
        <f aca="false">+D61*I62</f>
        <v>82252.3878138318</v>
      </c>
    </row>
    <row r="63" customFormat="false" ht="14.25" hidden="false" customHeight="false" outlineLevel="0" collapsed="false">
      <c r="H63" s="5"/>
      <c r="J63" s="8" t="n">
        <f aca="false">SUM(J58:J62)</f>
        <v>934439.81992385</v>
      </c>
    </row>
    <row r="64" customFormat="false" ht="14.25" hidden="false" customHeight="false" outlineLevel="0" collapsed="false">
      <c r="H64" s="5"/>
      <c r="J64" s="8"/>
    </row>
    <row r="65" customFormat="false" ht="14.25" hidden="false" customHeight="false" outlineLevel="0" collapsed="false">
      <c r="C65" s="6"/>
      <c r="D65" s="12"/>
      <c r="J65" s="6" t="s">
        <v>105</v>
      </c>
    </row>
    <row r="66" customFormat="false" ht="14.25" hidden="false" customHeight="false" outlineLevel="0" collapsed="false">
      <c r="C66" s="6" t="s">
        <v>102</v>
      </c>
      <c r="D66" s="12" t="n">
        <v>105049921</v>
      </c>
      <c r="F66" s="0" t="s">
        <v>22</v>
      </c>
      <c r="G66" s="0" t="s">
        <v>23</v>
      </c>
      <c r="H66" s="5" t="s">
        <v>27</v>
      </c>
      <c r="I66" s="38" t="n">
        <f aca="false">+J58/D61</f>
        <v>0.00235741571164251</v>
      </c>
      <c r="J66" s="8" t="n">
        <f aca="false">+D69*I66</f>
        <v>793822.877986132</v>
      </c>
    </row>
    <row r="67" customFormat="false" ht="14.25" hidden="false" customHeight="false" outlineLevel="0" collapsed="false">
      <c r="C67" s="6" t="s">
        <v>103</v>
      </c>
      <c r="D67" s="29" t="n">
        <v>100765469</v>
      </c>
      <c r="F67" s="0" t="s">
        <v>25</v>
      </c>
      <c r="G67" s="0" t="s">
        <v>26</v>
      </c>
      <c r="H67" s="5" t="s">
        <v>27</v>
      </c>
      <c r="I67" s="38" t="n">
        <f aca="false">+J59/D61</f>
        <v>0.000314322094885668</v>
      </c>
      <c r="J67" s="8" t="n">
        <f aca="false">+D69*I67</f>
        <v>105843.050398151</v>
      </c>
    </row>
    <row r="68" customFormat="false" ht="14.25" hidden="false" customHeight="false" outlineLevel="0" collapsed="false">
      <c r="C68" s="6" t="s">
        <v>104</v>
      </c>
      <c r="D68" s="29" t="n">
        <v>130918973</v>
      </c>
      <c r="F68" s="0" t="s">
        <v>34</v>
      </c>
      <c r="G68" s="0" t="s">
        <v>35</v>
      </c>
      <c r="H68" s="5" t="s">
        <v>27</v>
      </c>
      <c r="I68" s="38" t="n">
        <f aca="false">+J60/D61</f>
        <v>0.000251458969122395</v>
      </c>
      <c r="J68" s="8" t="n">
        <f aca="false">+D69*I68</f>
        <v>84674.8757880664</v>
      </c>
    </row>
    <row r="69" customFormat="false" ht="14.25" hidden="false" customHeight="false" outlineLevel="0" collapsed="false">
      <c r="D69" s="22" t="n">
        <f aca="false">SUM(D66:D68)</f>
        <v>336734363</v>
      </c>
      <c r="F69" s="0" t="s">
        <v>42</v>
      </c>
      <c r="G69" s="0" t="s">
        <v>43</v>
      </c>
      <c r="H69" s="5" t="s">
        <v>27</v>
      </c>
      <c r="I69" s="38" t="n">
        <f aca="false">+J61/D61</f>
        <v>0.000314322094885668</v>
      </c>
      <c r="J69" s="8" t="n">
        <f aca="false">+D69*I69</f>
        <v>105843.050398151</v>
      </c>
    </row>
    <row r="70" customFormat="false" ht="14.25" hidden="false" customHeight="false" outlineLevel="0" collapsed="false">
      <c r="F70" s="0" t="s">
        <v>44</v>
      </c>
      <c r="G70" s="0" t="s">
        <v>45</v>
      </c>
      <c r="H70" s="5" t="s">
        <v>27</v>
      </c>
      <c r="I70" s="38" t="n">
        <f aca="false">+J62/D61</f>
        <v>0.000312482498168979</v>
      </c>
      <c r="J70" s="8" t="n">
        <f aca="false">+D69*I70</f>
        <v>105223.59496958</v>
      </c>
    </row>
    <row r="71" customFormat="false" ht="14.25" hidden="false" customHeight="false" outlineLevel="0" collapsed="false">
      <c r="H71" s="5"/>
      <c r="J71" s="8" t="n">
        <f aca="false">SUM(J66:J70)</f>
        <v>1195407.44954008</v>
      </c>
    </row>
    <row r="73" customFormat="false" ht="14.25" hidden="false" customHeight="false" outlineLevel="0" collapsed="false">
      <c r="C73" s="6"/>
      <c r="D73" s="12"/>
      <c r="J73" s="6" t="s">
        <v>95</v>
      </c>
    </row>
    <row r="74" customFormat="false" ht="14.25" hidden="false" customHeight="false" outlineLevel="0" collapsed="false">
      <c r="C74" s="6" t="s">
        <v>103</v>
      </c>
      <c r="D74" s="29" t="n">
        <v>100765469</v>
      </c>
      <c r="F74" s="0" t="s">
        <v>22</v>
      </c>
      <c r="G74" s="0" t="s">
        <v>23</v>
      </c>
      <c r="H74" s="5" t="s">
        <v>27</v>
      </c>
      <c r="I74" s="38" t="n">
        <f aca="false">+J66/D69</f>
        <v>0.00235741571164251</v>
      </c>
      <c r="J74" s="8" t="n">
        <f aca="false">+D77*I74</f>
        <v>838624.884650173</v>
      </c>
    </row>
    <row r="75" customFormat="false" ht="14.25" hidden="false" customHeight="false" outlineLevel="0" collapsed="false">
      <c r="C75" s="6" t="s">
        <v>104</v>
      </c>
      <c r="D75" s="29" t="n">
        <v>130918973</v>
      </c>
      <c r="F75" s="0" t="s">
        <v>25</v>
      </c>
      <c r="G75" s="0" t="s">
        <v>26</v>
      </c>
      <c r="H75" s="5" t="s">
        <v>27</v>
      </c>
      <c r="I75" s="38" t="n">
        <f aca="false">+J67/D69</f>
        <v>0.000314322094885668</v>
      </c>
      <c r="J75" s="8" t="n">
        <f aca="false">+D77*I75</f>
        <v>111816.65128669</v>
      </c>
    </row>
    <row r="76" customFormat="false" ht="14.25" hidden="false" customHeight="false" outlineLevel="0" collapsed="false">
      <c r="C76" s="6" t="s">
        <v>105</v>
      </c>
      <c r="D76" s="29" t="n">
        <v>124054633</v>
      </c>
      <c r="F76" s="0" t="s">
        <v>34</v>
      </c>
      <c r="G76" s="0" t="s">
        <v>35</v>
      </c>
      <c r="H76" s="5" t="s">
        <v>27</v>
      </c>
      <c r="I76" s="38" t="n">
        <f aca="false">+J68/D69</f>
        <v>0.000251458969122395</v>
      </c>
      <c r="J76" s="8" t="n">
        <f aca="false">+D77*I76</f>
        <v>89453.7810760544</v>
      </c>
    </row>
    <row r="77" customFormat="false" ht="14.25" hidden="false" customHeight="false" outlineLevel="0" collapsed="false">
      <c r="D77" s="22" t="n">
        <f aca="false">SUM(D74:D76)</f>
        <v>355739075</v>
      </c>
      <c r="F77" s="0" t="s">
        <v>42</v>
      </c>
      <c r="G77" s="0" t="s">
        <v>43</v>
      </c>
      <c r="H77" s="5" t="s">
        <v>27</v>
      </c>
      <c r="I77" s="38" t="n">
        <f aca="false">+J69/D69</f>
        <v>0.000314322094885668</v>
      </c>
      <c r="J77" s="8" t="n">
        <f aca="false">+D77*I77</f>
        <v>111816.65128669</v>
      </c>
    </row>
    <row r="78" customFormat="false" ht="14.25" hidden="false" customHeight="false" outlineLevel="0" collapsed="false">
      <c r="F78" s="0" t="s">
        <v>44</v>
      </c>
      <c r="G78" s="0" t="s">
        <v>45</v>
      </c>
      <c r="H78" s="5" t="s">
        <v>27</v>
      </c>
      <c r="I78" s="38" t="n">
        <f aca="false">+J70/D69</f>
        <v>0.000312482498168979</v>
      </c>
      <c r="J78" s="8" t="n">
        <f aca="false">+D77*I78</f>
        <v>111162.234852322</v>
      </c>
    </row>
    <row r="79" customFormat="false" ht="14.25" hidden="false" customHeight="false" outlineLevel="0" collapsed="false">
      <c r="H79" s="5"/>
      <c r="J79" s="8" t="n">
        <f aca="false">SUM(J74:J78)</f>
        <v>1262874.20315193</v>
      </c>
    </row>
    <row r="81" customFormat="false" ht="14.25" hidden="false" customHeight="false" outlineLevel="0" collapsed="false">
      <c r="C81" s="6"/>
      <c r="D81" s="12"/>
      <c r="J81" s="6" t="s">
        <v>96</v>
      </c>
    </row>
    <row r="82" customFormat="false" ht="14.25" hidden="false" customHeight="false" outlineLevel="0" collapsed="false">
      <c r="C82" s="6" t="s">
        <v>104</v>
      </c>
      <c r="D82" s="29" t="n">
        <v>130918973</v>
      </c>
      <c r="F82" s="0" t="s">
        <v>22</v>
      </c>
      <c r="G82" s="0" t="s">
        <v>23</v>
      </c>
      <c r="H82" s="5" t="s">
        <v>27</v>
      </c>
      <c r="I82" s="38" t="n">
        <f aca="false">+J74/D77</f>
        <v>0.00235741571164251</v>
      </c>
      <c r="J82" s="8" t="n">
        <f aca="false">+D85*I82</f>
        <v>878873.733817849</v>
      </c>
    </row>
    <row r="83" customFormat="false" ht="14.25" hidden="false" customHeight="false" outlineLevel="0" collapsed="false">
      <c r="C83" s="6" t="s">
        <v>105</v>
      </c>
      <c r="D83" s="29" t="n">
        <v>124054633</v>
      </c>
      <c r="F83" s="0" t="s">
        <v>25</v>
      </c>
      <c r="G83" s="0" t="s">
        <v>26</v>
      </c>
      <c r="H83" s="5" t="s">
        <v>27</v>
      </c>
      <c r="I83" s="38" t="n">
        <f aca="false">+J75/D77</f>
        <v>0.000314322094885668</v>
      </c>
      <c r="J83" s="8" t="n">
        <f aca="false">+D85*I83</f>
        <v>117183.164509047</v>
      </c>
    </row>
    <row r="84" customFormat="false" ht="14.25" hidden="false" customHeight="false" outlineLevel="0" collapsed="false">
      <c r="C84" s="6" t="s">
        <v>95</v>
      </c>
      <c r="D84" s="29" t="n">
        <v>117838762</v>
      </c>
      <c r="F84" s="0" t="s">
        <v>34</v>
      </c>
      <c r="G84" s="0" t="s">
        <v>35</v>
      </c>
      <c r="H84" s="5" t="s">
        <v>27</v>
      </c>
      <c r="I84" s="38" t="n">
        <f aca="false">+J76/D77</f>
        <v>0.000251458969122395</v>
      </c>
      <c r="J84" s="8" t="n">
        <f aca="false">+D85*I84</f>
        <v>93747.013733359</v>
      </c>
    </row>
    <row r="85" customFormat="false" ht="14.25" hidden="false" customHeight="false" outlineLevel="0" collapsed="false">
      <c r="D85" s="22" t="n">
        <f aca="false">SUM(D82:D84)</f>
        <v>372812368</v>
      </c>
      <c r="F85" s="0" t="s">
        <v>42</v>
      </c>
      <c r="G85" s="0" t="s">
        <v>43</v>
      </c>
      <c r="H85" s="5" t="s">
        <v>27</v>
      </c>
      <c r="I85" s="38" t="n">
        <f aca="false">+J77/D77</f>
        <v>0.000314322094885668</v>
      </c>
      <c r="J85" s="8" t="n">
        <f aca="false">+D85*I85</f>
        <v>117183.164509047</v>
      </c>
    </row>
    <row r="86" customFormat="false" ht="14.25" hidden="false" customHeight="false" outlineLevel="0" collapsed="false">
      <c r="F86" s="0" t="s">
        <v>44</v>
      </c>
      <c r="G86" s="0" t="s">
        <v>45</v>
      </c>
      <c r="H86" s="5" t="s">
        <v>27</v>
      </c>
      <c r="I86" s="38" t="n">
        <f aca="false">+J78/D77</f>
        <v>0.000312482498168979</v>
      </c>
      <c r="J86" s="8" t="n">
        <f aca="false">+D85*I86</f>
        <v>116497.340100933</v>
      </c>
    </row>
    <row r="87" customFormat="false" ht="14.25" hidden="false" customHeight="false" outlineLevel="0" collapsed="false">
      <c r="H87" s="5"/>
      <c r="J87" s="8" t="n">
        <f aca="false">SUM(J82:J86)</f>
        <v>1323484.41667023</v>
      </c>
    </row>
    <row r="89" customFormat="false" ht="14.25" hidden="false" customHeight="false" outlineLevel="0" collapsed="false">
      <c r="C89" s="6"/>
      <c r="D89" s="12"/>
      <c r="J89" s="6" t="s">
        <v>97</v>
      </c>
    </row>
    <row r="90" customFormat="false" ht="14.25" hidden="false" customHeight="false" outlineLevel="0" collapsed="false">
      <c r="C90" s="6" t="s">
        <v>105</v>
      </c>
      <c r="D90" s="29" t="n">
        <v>124054633</v>
      </c>
      <c r="F90" s="0" t="s">
        <v>22</v>
      </c>
      <c r="G90" s="0" t="s">
        <v>23</v>
      </c>
      <c r="H90" s="5" t="s">
        <v>27</v>
      </c>
      <c r="I90" s="38" t="n">
        <f aca="false">+J82/D85</f>
        <v>0.00235741571164251</v>
      </c>
      <c r="J90" s="8" t="n">
        <f aca="false">+D93*I90</f>
        <v>861534.092589062</v>
      </c>
    </row>
    <row r="91" customFormat="false" ht="14.25" hidden="false" customHeight="false" outlineLevel="0" collapsed="false">
      <c r="C91" s="6" t="s">
        <v>95</v>
      </c>
      <c r="D91" s="29" t="n">
        <v>117838762</v>
      </c>
      <c r="F91" s="0" t="s">
        <v>25</v>
      </c>
      <c r="G91" s="0" t="s">
        <v>26</v>
      </c>
      <c r="H91" s="5" t="s">
        <v>27</v>
      </c>
      <c r="I91" s="38" t="n">
        <f aca="false">+J83/D85</f>
        <v>0.000314322094885668</v>
      </c>
      <c r="J91" s="8" t="n">
        <f aca="false">+D93*I91</f>
        <v>114871.212345208</v>
      </c>
    </row>
    <row r="92" customFormat="false" ht="14.25" hidden="false" customHeight="false" outlineLevel="0" collapsed="false">
      <c r="C92" s="6" t="s">
        <v>96</v>
      </c>
      <c r="D92" s="29" t="n">
        <v>123563613</v>
      </c>
      <c r="F92" s="0" t="s">
        <v>34</v>
      </c>
      <c r="G92" s="0" t="s">
        <v>35</v>
      </c>
      <c r="H92" s="5" t="s">
        <v>27</v>
      </c>
      <c r="I92" s="38" t="n">
        <f aca="false">+J84/D85</f>
        <v>0.000251458969122395</v>
      </c>
      <c r="J92" s="8" t="n">
        <f aca="false">+D93*I92</f>
        <v>91897.4424902349</v>
      </c>
    </row>
    <row r="93" customFormat="false" ht="14.25" hidden="false" customHeight="false" outlineLevel="0" collapsed="false">
      <c r="D93" s="22" t="n">
        <f aca="false">SUM(D90:D92)</f>
        <v>365457008</v>
      </c>
      <c r="F93" s="0" t="s">
        <v>42</v>
      </c>
      <c r="G93" s="0" t="s">
        <v>43</v>
      </c>
      <c r="H93" s="5" t="s">
        <v>27</v>
      </c>
      <c r="I93" s="38" t="n">
        <f aca="false">+J85/D85</f>
        <v>0.000314322094885668</v>
      </c>
      <c r="J93" s="8" t="n">
        <f aca="false">+D93*I93</f>
        <v>114871.212345208</v>
      </c>
    </row>
    <row r="94" customFormat="false" ht="14.25" hidden="false" customHeight="false" outlineLevel="0" collapsed="false">
      <c r="F94" s="0" t="s">
        <v>44</v>
      </c>
      <c r="G94" s="0" t="s">
        <v>45</v>
      </c>
      <c r="H94" s="5" t="s">
        <v>27</v>
      </c>
      <c r="I94" s="38" t="n">
        <f aca="false">+J86/D85</f>
        <v>0.000312482498168979</v>
      </c>
      <c r="J94" s="8" t="n">
        <f aca="false">+D93*I94</f>
        <v>114198.918833201</v>
      </c>
    </row>
    <row r="95" customFormat="false" ht="14.25" hidden="false" customHeight="false" outlineLevel="0" collapsed="false">
      <c r="H95" s="5"/>
      <c r="J95" s="8" t="n">
        <f aca="false">SUM(J90:J94)</f>
        <v>1297372.87860291</v>
      </c>
    </row>
    <row r="96" customFormat="false" ht="14.25" hidden="false" customHeight="false" outlineLevel="0" collapsed="false">
      <c r="C96" s="29"/>
      <c r="D96" s="29"/>
      <c r="E96" s="29"/>
    </row>
    <row r="97" customFormat="false" ht="14.25" hidden="false" customHeight="false" outlineLevel="0" collapsed="false">
      <c r="C97" s="6"/>
      <c r="D97" s="12"/>
      <c r="J97" s="6" t="s">
        <v>94</v>
      </c>
    </row>
    <row r="98" customFormat="false" ht="14.25" hidden="false" customHeight="false" outlineLevel="0" collapsed="false">
      <c r="C98" s="6" t="s">
        <v>95</v>
      </c>
      <c r="D98" s="29" t="n">
        <v>117838762</v>
      </c>
      <c r="F98" s="0" t="s">
        <v>22</v>
      </c>
      <c r="G98" s="0" t="s">
        <v>23</v>
      </c>
      <c r="H98" s="5" t="s">
        <v>27</v>
      </c>
      <c r="I98" s="38" t="n">
        <f aca="false">+J90/D93</f>
        <v>0.00235741571164251</v>
      </c>
      <c r="J98" s="8" t="n">
        <f aca="false">+D101*I98</f>
        <v>729039.606700882</v>
      </c>
    </row>
    <row r="99" customFormat="false" ht="14.25" hidden="false" customHeight="false" outlineLevel="0" collapsed="false">
      <c r="C99" s="6" t="s">
        <v>96</v>
      </c>
      <c r="D99" s="29" t="n">
        <v>123563613</v>
      </c>
      <c r="F99" s="0" t="s">
        <v>25</v>
      </c>
      <c r="G99" s="0" t="s">
        <v>26</v>
      </c>
      <c r="H99" s="5" t="s">
        <v>27</v>
      </c>
      <c r="I99" s="38" t="n">
        <f aca="false">+J91/D93</f>
        <v>0.000314322094885668</v>
      </c>
      <c r="J99" s="8" t="n">
        <f aca="false">+D101*I99</f>
        <v>97205.2808934509</v>
      </c>
    </row>
    <row r="100" customFormat="false" ht="14.25" hidden="false" customHeight="false" outlineLevel="0" collapsed="false">
      <c r="C100" s="6" t="s">
        <v>97</v>
      </c>
      <c r="D100" s="29" t="n">
        <v>67851357</v>
      </c>
      <c r="F100" s="0" t="s">
        <v>34</v>
      </c>
      <c r="G100" s="0" t="s">
        <v>35</v>
      </c>
      <c r="H100" s="5" t="s">
        <v>27</v>
      </c>
      <c r="I100" s="38" t="n">
        <f aca="false">+J92/D93</f>
        <v>0.000251458969122395</v>
      </c>
      <c r="J100" s="8" t="n">
        <f aca="false">+D101*I100</f>
        <v>77764.6246459734</v>
      </c>
    </row>
    <row r="101" customFormat="false" ht="14.25" hidden="false" customHeight="false" outlineLevel="0" collapsed="false">
      <c r="D101" s="22" t="n">
        <f aca="false">SUM(D98:D100)</f>
        <v>309253732</v>
      </c>
      <c r="F101" s="0" t="s">
        <v>42</v>
      </c>
      <c r="G101" s="0" t="s">
        <v>43</v>
      </c>
      <c r="H101" s="5" t="s">
        <v>27</v>
      </c>
      <c r="I101" s="38" t="n">
        <f aca="false">+J93/D93</f>
        <v>0.000314322094885668</v>
      </c>
      <c r="J101" s="8" t="n">
        <f aca="false">+D101*I101</f>
        <v>97205.2808934509</v>
      </c>
    </row>
    <row r="102" customFormat="false" ht="14.25" hidden="false" customHeight="false" outlineLevel="0" collapsed="false">
      <c r="F102" s="0" t="s">
        <v>44</v>
      </c>
      <c r="G102" s="0" t="s">
        <v>45</v>
      </c>
      <c r="H102" s="5" t="s">
        <v>27</v>
      </c>
      <c r="I102" s="38" t="n">
        <f aca="false">+J94/D93</f>
        <v>0.000312482498168979</v>
      </c>
      <c r="J102" s="8" t="n">
        <f aca="false">+D101*I102</f>
        <v>96636.3787434399</v>
      </c>
    </row>
    <row r="103" customFormat="false" ht="14.25" hidden="false" customHeight="false" outlineLevel="0" collapsed="false">
      <c r="H103" s="5"/>
      <c r="J103" s="8" t="n">
        <f aca="false">SUM(J98:J102)</f>
        <v>1097851.1718772</v>
      </c>
    </row>
    <row r="105" customFormat="false" ht="14.25" hidden="false" customHeight="false" outlineLevel="0" collapsed="false">
      <c r="C105" s="6"/>
      <c r="D105" s="12"/>
      <c r="J105" s="6" t="s">
        <v>98</v>
      </c>
    </row>
    <row r="106" customFormat="false" ht="14.25" hidden="false" customHeight="false" outlineLevel="0" collapsed="false">
      <c r="C106" s="6" t="s">
        <v>96</v>
      </c>
      <c r="D106" s="29" t="n">
        <v>123563613</v>
      </c>
      <c r="F106" s="0" t="s">
        <v>22</v>
      </c>
      <c r="G106" s="0" t="s">
        <v>23</v>
      </c>
      <c r="H106" s="5" t="s">
        <v>27</v>
      </c>
      <c r="I106" s="38" t="n">
        <f aca="false">+J98/D101</f>
        <v>0.00235741571164251</v>
      </c>
      <c r="J106" s="8" t="n">
        <f aca="false">+D109*I106</f>
        <v>703626.302287356</v>
      </c>
    </row>
    <row r="107" customFormat="false" ht="14.25" hidden="false" customHeight="false" outlineLevel="0" collapsed="false">
      <c r="C107" s="6" t="s">
        <v>97</v>
      </c>
      <c r="D107" s="29" t="n">
        <v>67851357</v>
      </c>
      <c r="F107" s="0" t="s">
        <v>25</v>
      </c>
      <c r="G107" s="0" t="s">
        <v>26</v>
      </c>
      <c r="H107" s="5" t="s">
        <v>27</v>
      </c>
      <c r="I107" s="38" t="n">
        <f aca="false">+J99/D101</f>
        <v>0.000314322094885668</v>
      </c>
      <c r="J107" s="8" t="n">
        <f aca="false">+D109*I107</f>
        <v>93816.8403049808</v>
      </c>
    </row>
    <row r="108" customFormat="false" ht="14.25" hidden="false" customHeight="false" outlineLevel="0" collapsed="false">
      <c r="C108" s="6" t="s">
        <v>94</v>
      </c>
      <c r="D108" s="29" t="n">
        <v>107058608</v>
      </c>
      <c r="F108" s="0" t="s">
        <v>34</v>
      </c>
      <c r="G108" s="0" t="s">
        <v>35</v>
      </c>
      <c r="H108" s="5" t="s">
        <v>27</v>
      </c>
      <c r="I108" s="38" t="n">
        <f aca="false">+J100/D101</f>
        <v>0.000251458969122395</v>
      </c>
      <c r="J108" s="8" t="n">
        <f aca="false">+D109*I108</f>
        <v>75053.8582341528</v>
      </c>
    </row>
    <row r="109" customFormat="false" ht="14.25" hidden="false" customHeight="false" outlineLevel="0" collapsed="false">
      <c r="D109" s="22" t="n">
        <f aca="false">SUM(D106:D108)</f>
        <v>298473578</v>
      </c>
      <c r="F109" s="0" t="s">
        <v>42</v>
      </c>
      <c r="G109" s="0" t="s">
        <v>43</v>
      </c>
      <c r="H109" s="5" t="s">
        <v>27</v>
      </c>
      <c r="I109" s="38" t="n">
        <f aca="false">+J101/D101</f>
        <v>0.000314322094885668</v>
      </c>
      <c r="J109" s="8" t="n">
        <f aca="false">+D109*I109</f>
        <v>93816.8403049808</v>
      </c>
    </row>
    <row r="110" customFormat="false" ht="14.25" hidden="false" customHeight="false" outlineLevel="0" collapsed="false">
      <c r="F110" s="0" t="s">
        <v>44</v>
      </c>
      <c r="G110" s="0" t="s">
        <v>45</v>
      </c>
      <c r="H110" s="5" t="s">
        <v>27</v>
      </c>
      <c r="I110" s="38" t="n">
        <f aca="false">+J102/D101</f>
        <v>0.000312482498168979</v>
      </c>
      <c r="J110" s="8" t="n">
        <f aca="false">+D109*I110</f>
        <v>93267.7692908736</v>
      </c>
    </row>
    <row r="111" customFormat="false" ht="14.25" hidden="false" customHeight="false" outlineLevel="0" collapsed="false">
      <c r="H111" s="5"/>
      <c r="J111" s="8" t="n">
        <f aca="false">SUM(J106:J110)</f>
        <v>1059581.61042234</v>
      </c>
    </row>
    <row r="113" customFormat="false" ht="14.25" hidden="false" customHeight="false" outlineLevel="0" collapsed="false">
      <c r="C113" s="6"/>
      <c r="D113" s="12"/>
      <c r="J113" s="6" t="s">
        <v>99</v>
      </c>
    </row>
    <row r="114" customFormat="false" ht="14.25" hidden="false" customHeight="false" outlineLevel="0" collapsed="false">
      <c r="C114" s="6" t="s">
        <v>97</v>
      </c>
      <c r="D114" s="29" t="n">
        <v>67851357</v>
      </c>
      <c r="F114" s="0" t="s">
        <v>22</v>
      </c>
      <c r="G114" s="0" t="s">
        <v>23</v>
      </c>
      <c r="H114" s="5" t="s">
        <v>27</v>
      </c>
      <c r="I114" s="38" t="n">
        <f aca="false">+J106/D109</f>
        <v>0.00235741571164251</v>
      </c>
      <c r="J114" s="8" t="n">
        <f aca="false">+D117*I114</f>
        <v>642834.100440681</v>
      </c>
    </row>
    <row r="115" customFormat="false" ht="14.25" hidden="false" customHeight="false" outlineLevel="0" collapsed="false">
      <c r="C115" s="6" t="s">
        <v>94</v>
      </c>
      <c r="D115" s="29" t="n">
        <v>107058608</v>
      </c>
      <c r="F115" s="0" t="s">
        <v>25</v>
      </c>
      <c r="G115" s="0" t="s">
        <v>26</v>
      </c>
      <c r="H115" s="5" t="s">
        <v>27</v>
      </c>
      <c r="I115" s="38" t="n">
        <f aca="false">+J107/D109</f>
        <v>0.000314322094885668</v>
      </c>
      <c r="J115" s="8" t="n">
        <f aca="false">+D117*I115</f>
        <v>85711.2133920908</v>
      </c>
    </row>
    <row r="116" customFormat="false" ht="14.25" hidden="false" customHeight="false" outlineLevel="0" collapsed="false">
      <c r="C116" s="6" t="s">
        <v>98</v>
      </c>
      <c r="D116" s="29" t="n">
        <v>97775967</v>
      </c>
      <c r="F116" s="0" t="s">
        <v>34</v>
      </c>
      <c r="G116" s="0" t="s">
        <v>35</v>
      </c>
      <c r="H116" s="5" t="s">
        <v>27</v>
      </c>
      <c r="I116" s="38" t="n">
        <f aca="false">+J108/D109</f>
        <v>0.000251458969122395</v>
      </c>
      <c r="J116" s="8" t="n">
        <f aca="false">+D117*I116</f>
        <v>68569.3233548995</v>
      </c>
    </row>
    <row r="117" customFormat="false" ht="14.25" hidden="false" customHeight="false" outlineLevel="0" collapsed="false">
      <c r="D117" s="22" t="n">
        <f aca="false">SUM(D114:D116)</f>
        <v>272685932</v>
      </c>
      <c r="F117" s="0" t="s">
        <v>42</v>
      </c>
      <c r="G117" s="0" t="s">
        <v>43</v>
      </c>
      <c r="H117" s="5" t="s">
        <v>27</v>
      </c>
      <c r="I117" s="38" t="n">
        <f aca="false">+J109/D109</f>
        <v>0.000314322094885668</v>
      </c>
      <c r="J117" s="8" t="n">
        <f aca="false">+D117*I117</f>
        <v>85711.2133920908</v>
      </c>
    </row>
    <row r="118" customFormat="false" ht="14.25" hidden="false" customHeight="false" outlineLevel="0" collapsed="false">
      <c r="F118" s="0" t="s">
        <v>44</v>
      </c>
      <c r="G118" s="0" t="s">
        <v>45</v>
      </c>
      <c r="H118" s="5" t="s">
        <v>27</v>
      </c>
      <c r="I118" s="38" t="n">
        <f aca="false">+J110/D109</f>
        <v>0.000312482498168979</v>
      </c>
      <c r="J118" s="8" t="n">
        <f aca="false">+D117*I118</f>
        <v>85209.5812468963</v>
      </c>
    </row>
    <row r="119" customFormat="false" ht="14.25" hidden="false" customHeight="false" outlineLevel="0" collapsed="false">
      <c r="H119" s="5"/>
      <c r="J119" s="8" t="n">
        <f aca="false">SUM(J114:J118)</f>
        <v>968035.431826659</v>
      </c>
    </row>
    <row r="121" customFormat="false" ht="14.25" hidden="false" customHeight="false" outlineLevel="0" collapsed="false">
      <c r="C121" s="6"/>
      <c r="D121" s="12"/>
      <c r="J121" s="6" t="s">
        <v>100</v>
      </c>
    </row>
    <row r="122" customFormat="false" ht="14.25" hidden="false" customHeight="false" outlineLevel="0" collapsed="false">
      <c r="C122" s="6" t="s">
        <v>94</v>
      </c>
      <c r="D122" s="29" t="n">
        <v>107058608</v>
      </c>
      <c r="F122" s="0" t="s">
        <v>22</v>
      </c>
      <c r="G122" s="0" t="s">
        <v>23</v>
      </c>
      <c r="H122" s="5" t="s">
        <v>27</v>
      </c>
      <c r="I122" s="38" t="n">
        <f aca="false">+J114/D117</f>
        <v>0.00235741571164251</v>
      </c>
      <c r="J122" s="8" t="n">
        <f aca="false">+D125*I122</f>
        <v>726724.457095534</v>
      </c>
    </row>
    <row r="123" customFormat="false" ht="14.25" hidden="false" customHeight="false" outlineLevel="0" collapsed="false">
      <c r="C123" s="6" t="s">
        <v>98</v>
      </c>
      <c r="D123" s="29" t="n">
        <v>97775967</v>
      </c>
      <c r="F123" s="0" t="s">
        <v>25</v>
      </c>
      <c r="G123" s="0" t="s">
        <v>26</v>
      </c>
      <c r="H123" s="5" t="s">
        <v>27</v>
      </c>
      <c r="I123" s="38" t="n">
        <f aca="false">+J115/D117</f>
        <v>0.000314322094885668</v>
      </c>
      <c r="J123" s="8" t="n">
        <f aca="false">+D125*I123</f>
        <v>96896.5942794045</v>
      </c>
    </row>
    <row r="124" customFormat="false" ht="14.25" hidden="false" customHeight="false" outlineLevel="0" collapsed="false">
      <c r="C124" s="6" t="s">
        <v>99</v>
      </c>
      <c r="D124" s="29" t="n">
        <v>103437086</v>
      </c>
      <c r="F124" s="0" t="s">
        <v>34</v>
      </c>
      <c r="G124" s="0" t="s">
        <v>35</v>
      </c>
      <c r="H124" s="5" t="s">
        <v>27</v>
      </c>
      <c r="I124" s="38" t="n">
        <f aca="false">+J116/D117</f>
        <v>0.000251458969122395</v>
      </c>
      <c r="J124" s="8" t="n">
        <f aca="false">+D125*I124</f>
        <v>77517.6740847084</v>
      </c>
    </row>
    <row r="125" customFormat="false" ht="14.25" hidden="false" customHeight="false" outlineLevel="0" collapsed="false">
      <c r="D125" s="22" t="n">
        <f aca="false">SUM(D122:D124)</f>
        <v>308271661</v>
      </c>
      <c r="F125" s="0" t="s">
        <v>42</v>
      </c>
      <c r="G125" s="0" t="s">
        <v>43</v>
      </c>
      <c r="H125" s="5" t="s">
        <v>27</v>
      </c>
      <c r="I125" s="38" t="n">
        <f aca="false">+J117/D117</f>
        <v>0.000314322094885668</v>
      </c>
      <c r="J125" s="8" t="n">
        <f aca="false">+D125*I125</f>
        <v>96896.5942794045</v>
      </c>
    </row>
    <row r="126" customFormat="false" ht="14.25" hidden="false" customHeight="false" outlineLevel="0" collapsed="false">
      <c r="F126" s="0" t="s">
        <v>44</v>
      </c>
      <c r="G126" s="0" t="s">
        <v>45</v>
      </c>
      <c r="H126" s="5" t="s">
        <v>27</v>
      </c>
      <c r="I126" s="38" t="n">
        <f aca="false">+J118/D117</f>
        <v>0.000312482498168979</v>
      </c>
      <c r="J126" s="8" t="n">
        <f aca="false">+D125*I126</f>
        <v>96329.4987439806</v>
      </c>
    </row>
    <row r="127" customFormat="false" ht="14.25" hidden="false" customHeight="false" outlineLevel="0" collapsed="false">
      <c r="H127" s="5"/>
      <c r="J127" s="8" t="n">
        <f aca="false">SUM(J122:J126)</f>
        <v>1094364.81848303</v>
      </c>
    </row>
    <row r="129" customFormat="false" ht="14.25" hidden="false" customHeight="false" outlineLevel="0" collapsed="false">
      <c r="C129" s="6"/>
      <c r="D129" s="12"/>
      <c r="J129" s="6" t="s">
        <v>101</v>
      </c>
    </row>
    <row r="130" customFormat="false" ht="14.25" hidden="false" customHeight="false" outlineLevel="0" collapsed="false">
      <c r="C130" s="6" t="s">
        <v>98</v>
      </c>
      <c r="D130" s="29" t="n">
        <v>97775967</v>
      </c>
      <c r="F130" s="0" t="s">
        <v>22</v>
      </c>
      <c r="G130" s="0" t="s">
        <v>23</v>
      </c>
      <c r="H130" s="5" t="s">
        <v>27</v>
      </c>
      <c r="I130" s="38" t="n">
        <f aca="false">+J122/D125</f>
        <v>0.00235741571164251</v>
      </c>
      <c r="J130" s="8" t="n">
        <f aca="false">+D133*I130</f>
        <v>621559.180373551</v>
      </c>
    </row>
    <row r="131" customFormat="false" ht="14.25" hidden="false" customHeight="false" outlineLevel="0" collapsed="false">
      <c r="C131" s="6" t="s">
        <v>99</v>
      </c>
      <c r="D131" s="29" t="n">
        <v>103437086</v>
      </c>
      <c r="F131" s="0" t="s">
        <v>25</v>
      </c>
      <c r="G131" s="0" t="s">
        <v>26</v>
      </c>
      <c r="H131" s="5" t="s">
        <v>27</v>
      </c>
      <c r="I131" s="38" t="n">
        <f aca="false">+J123/D125</f>
        <v>0.000314322094885668</v>
      </c>
      <c r="J131" s="8" t="n">
        <f aca="false">+D133*I131</f>
        <v>82874.5573831401</v>
      </c>
    </row>
    <row r="132" customFormat="false" ht="14.25" hidden="false" customHeight="false" outlineLevel="0" collapsed="false">
      <c r="C132" s="6" t="s">
        <v>100</v>
      </c>
      <c r="D132" s="9" t="n">
        <v>62448200</v>
      </c>
      <c r="F132" s="0" t="s">
        <v>34</v>
      </c>
      <c r="G132" s="0" t="s">
        <v>35</v>
      </c>
      <c r="H132" s="5" t="s">
        <v>27</v>
      </c>
      <c r="I132" s="38" t="n">
        <f aca="false">+J124/D125</f>
        <v>0.000251458969122395</v>
      </c>
      <c r="J132" s="8" t="n">
        <f aca="false">+D133*I132</f>
        <v>66299.986876899</v>
      </c>
    </row>
    <row r="133" customFormat="false" ht="14.25" hidden="false" customHeight="false" outlineLevel="0" collapsed="false">
      <c r="D133" s="22" t="n">
        <f aca="false">SUM(D130:D132)</f>
        <v>263661253</v>
      </c>
      <c r="F133" s="0" t="s">
        <v>42</v>
      </c>
      <c r="G133" s="0" t="s">
        <v>43</v>
      </c>
      <c r="H133" s="5" t="s">
        <v>27</v>
      </c>
      <c r="I133" s="38" t="n">
        <f aca="false">+J125/D125</f>
        <v>0.000314322094885668</v>
      </c>
      <c r="J133" s="8" t="n">
        <f aca="false">+D133*I133</f>
        <v>82874.5573831401</v>
      </c>
    </row>
    <row r="134" customFormat="false" ht="14.25" hidden="false" customHeight="false" outlineLevel="0" collapsed="false">
      <c r="F134" s="0" t="s">
        <v>44</v>
      </c>
      <c r="G134" s="0" t="s">
        <v>45</v>
      </c>
      <c r="H134" s="5" t="s">
        <v>27</v>
      </c>
      <c r="I134" s="38" t="n">
        <f aca="false">+J126/D125</f>
        <v>0.000312482498168979</v>
      </c>
      <c r="J134" s="8" t="n">
        <f aca="false">+D133*I134</f>
        <v>82389.5270078032</v>
      </c>
    </row>
    <row r="135" customFormat="false" ht="14.25" hidden="false" customHeight="false" outlineLevel="0" collapsed="false">
      <c r="D135" s="9"/>
      <c r="H135" s="5"/>
      <c r="J135" s="8" t="n">
        <f aca="false">SUM(J130:J134)</f>
        <v>935997.809024533</v>
      </c>
    </row>
    <row r="136" customFormat="false" ht="14.25" hidden="false" customHeight="false" outlineLevel="0" collapsed="false">
      <c r="C136" s="29"/>
      <c r="D136" s="29"/>
    </row>
    <row r="137" customFormat="false" ht="14.25" hidden="false" customHeight="false" outlineLevel="0" collapsed="false">
      <c r="C137" s="6"/>
      <c r="D137" s="12"/>
      <c r="J137" s="6" t="s">
        <v>102</v>
      </c>
    </row>
    <row r="138" customFormat="false" ht="14.25" hidden="false" customHeight="false" outlineLevel="0" collapsed="false">
      <c r="C138" s="6" t="s">
        <v>99</v>
      </c>
      <c r="D138" s="29" t="n">
        <v>103437086</v>
      </c>
      <c r="F138" s="0" t="s">
        <v>22</v>
      </c>
      <c r="G138" s="0" t="s">
        <v>23</v>
      </c>
      <c r="H138" s="5" t="s">
        <v>27</v>
      </c>
      <c r="I138" s="38" t="n">
        <f aca="false">+J130/D133</f>
        <v>0.00235741571164251</v>
      </c>
      <c r="J138" s="8" t="n">
        <f aca="false">+D141*I138</f>
        <v>566966.701316026</v>
      </c>
    </row>
    <row r="139" customFormat="false" ht="14.25" hidden="false" customHeight="false" outlineLevel="0" collapsed="false">
      <c r="C139" s="6" t="s">
        <v>100</v>
      </c>
      <c r="D139" s="9" t="n">
        <v>62448200</v>
      </c>
      <c r="F139" s="0" t="s">
        <v>25</v>
      </c>
      <c r="G139" s="0" t="s">
        <v>26</v>
      </c>
      <c r="H139" s="5" t="s">
        <v>27</v>
      </c>
      <c r="I139" s="38" t="n">
        <f aca="false">+J131/D133</f>
        <v>0.000314322094885668</v>
      </c>
      <c r="J139" s="8" t="n">
        <f aca="false">+D141*I139</f>
        <v>75595.5601754701</v>
      </c>
    </row>
    <row r="140" customFormat="false" ht="14.25" hidden="false" customHeight="false" outlineLevel="0" collapsed="false">
      <c r="C140" s="6" t="s">
        <v>101</v>
      </c>
      <c r="D140" s="29" t="n">
        <v>74618202</v>
      </c>
      <c r="F140" s="0" t="s">
        <v>34</v>
      </c>
      <c r="G140" s="0" t="s">
        <v>35</v>
      </c>
      <c r="H140" s="5" t="s">
        <v>27</v>
      </c>
      <c r="I140" s="38" t="n">
        <f aca="false">+J132/D133</f>
        <v>0.000251458969122395</v>
      </c>
      <c r="J140" s="8" t="n">
        <f aca="false">+D141*I140</f>
        <v>60476.7591628203</v>
      </c>
    </row>
    <row r="141" customFormat="false" ht="14.25" hidden="false" customHeight="false" outlineLevel="0" collapsed="false">
      <c r="D141" s="22" t="n">
        <f aca="false">SUM(D138:D140)</f>
        <v>240503488</v>
      </c>
      <c r="F141" s="0" t="s">
        <v>42</v>
      </c>
      <c r="G141" s="0" t="s">
        <v>43</v>
      </c>
      <c r="H141" s="5" t="s">
        <v>27</v>
      </c>
      <c r="I141" s="38" t="n">
        <f aca="false">+J133/D133</f>
        <v>0.000314322094885668</v>
      </c>
      <c r="J141" s="8" t="n">
        <f aca="false">+D141*I141</f>
        <v>75595.5601754701</v>
      </c>
    </row>
    <row r="142" customFormat="false" ht="14.25" hidden="false" customHeight="false" outlineLevel="0" collapsed="false">
      <c r="F142" s="0" t="s">
        <v>44</v>
      </c>
      <c r="G142" s="0" t="s">
        <v>45</v>
      </c>
      <c r="H142" s="5" t="s">
        <v>27</v>
      </c>
      <c r="I142" s="38" t="n">
        <f aca="false">+J134/D133</f>
        <v>0.000312482498168979</v>
      </c>
      <c r="J142" s="8" t="n">
        <f aca="false">+D141*I142</f>
        <v>75153.130748593</v>
      </c>
    </row>
    <row r="143" customFormat="false" ht="14.25" hidden="false" customHeight="false" outlineLevel="0" collapsed="false">
      <c r="D143" s="9"/>
      <c r="H143" s="5"/>
      <c r="J143" s="8" t="n">
        <f aca="false">SUM(J138:J142)</f>
        <v>853787.711578379</v>
      </c>
    </row>
    <row r="145" customFormat="false" ht="14.25" hidden="false" customHeight="false" outlineLevel="0" collapsed="false">
      <c r="C145" s="6"/>
      <c r="D145" s="12"/>
      <c r="J145" s="6" t="s">
        <v>103</v>
      </c>
    </row>
    <row r="146" customFormat="false" ht="14.25" hidden="false" customHeight="false" outlineLevel="0" collapsed="false">
      <c r="C146" s="6" t="s">
        <v>100</v>
      </c>
      <c r="D146" s="39" t="n">
        <v>62448200</v>
      </c>
      <c r="F146" s="0" t="s">
        <v>22</v>
      </c>
      <c r="G146" s="0" t="s">
        <v>23</v>
      </c>
      <c r="H146" s="5" t="s">
        <v>27</v>
      </c>
      <c r="I146" s="38" t="n">
        <f aca="false">+J138/D141</f>
        <v>0.00235741571164251</v>
      </c>
      <c r="J146" s="8" t="n">
        <f aca="false">+D149*I146</f>
        <v>554763.225348419</v>
      </c>
    </row>
    <row r="147" customFormat="false" ht="14.25" hidden="false" customHeight="false" outlineLevel="0" collapsed="false">
      <c r="C147" s="6" t="s">
        <v>101</v>
      </c>
      <c r="D147" s="29" t="n">
        <v>74618202</v>
      </c>
      <c r="F147" s="0" t="s">
        <v>25</v>
      </c>
      <c r="G147" s="0" t="s">
        <v>26</v>
      </c>
      <c r="H147" s="5" t="s">
        <v>27</v>
      </c>
      <c r="I147" s="38" t="n">
        <f aca="false">+J139/D141</f>
        <v>0.000314322094885668</v>
      </c>
      <c r="J147" s="8" t="n">
        <f aca="false">+D149*I147</f>
        <v>73968.4300464558</v>
      </c>
    </row>
    <row r="148" customFormat="false" ht="14.25" hidden="false" customHeight="false" outlineLevel="0" collapsed="false">
      <c r="C148" s="6" t="s">
        <v>102</v>
      </c>
      <c r="D148" s="40" t="n">
        <v>98260453</v>
      </c>
      <c r="F148" s="0" t="s">
        <v>34</v>
      </c>
      <c r="G148" s="0" t="s">
        <v>35</v>
      </c>
      <c r="H148" s="5" t="s">
        <v>27</v>
      </c>
      <c r="I148" s="38" t="n">
        <f aca="false">+J140/D141</f>
        <v>0.000251458969122395</v>
      </c>
      <c r="J148" s="8" t="n">
        <f aca="false">+D149*I148</f>
        <v>59175.0483651153</v>
      </c>
    </row>
    <row r="149" customFormat="false" ht="14.25" hidden="false" customHeight="false" outlineLevel="0" collapsed="false">
      <c r="D149" s="22" t="n">
        <f aca="false">SUM(D146:D148)</f>
        <v>235326855</v>
      </c>
      <c r="F149" s="0" t="s">
        <v>42</v>
      </c>
      <c r="G149" s="0" t="s">
        <v>43</v>
      </c>
      <c r="H149" s="5" t="s">
        <v>27</v>
      </c>
      <c r="I149" s="38" t="n">
        <f aca="false">+J141/D141</f>
        <v>0.000314322094885668</v>
      </c>
      <c r="J149" s="8" t="n">
        <f aca="false">+D149*I149</f>
        <v>73968.4300464558</v>
      </c>
    </row>
    <row r="150" customFormat="false" ht="14.25" hidden="false" customHeight="false" outlineLevel="0" collapsed="false">
      <c r="F150" s="0" t="s">
        <v>44</v>
      </c>
      <c r="G150" s="0" t="s">
        <v>45</v>
      </c>
      <c r="H150" s="5" t="s">
        <v>27</v>
      </c>
      <c r="I150" s="38" t="n">
        <f aca="false">+J142/D141</f>
        <v>0.000312482498168979</v>
      </c>
      <c r="J150" s="8" t="n">
        <f aca="false">+D149*I150</f>
        <v>73535.5235366491</v>
      </c>
    </row>
    <row r="151" customFormat="false" ht="14.25" hidden="false" customHeight="false" outlineLevel="0" collapsed="false">
      <c r="D151" s="9"/>
      <c r="H151" s="5"/>
      <c r="J151" s="8" t="n">
        <f aca="false">SUM(J146:J150)</f>
        <v>835410.657343095</v>
      </c>
    </row>
    <row r="153" customFormat="false" ht="14.25" hidden="false" customHeight="false" outlineLevel="0" collapsed="false">
      <c r="C153" s="40"/>
      <c r="D153" s="40"/>
      <c r="E153" s="4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N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4453125" defaultRowHeight="14.25" customHeight="false" zeroHeight="false" outlineLevelRow="0" outlineLevelCol="0"/>
  <cols>
    <col collapsed="false" customWidth="false" hidden="false" outlineLevel="0" max="16384" min="1" style="41" width="11.44"/>
  </cols>
  <sheetData>
    <row r="2" customFormat="false" ht="58.4" hidden="false" customHeight="false" outlineLevel="0" collapsed="false">
      <c r="D2" s="42" t="s">
        <v>106</v>
      </c>
      <c r="E2" s="42" t="s">
        <v>107</v>
      </c>
      <c r="F2" s="42" t="s">
        <v>108</v>
      </c>
      <c r="G2" s="42" t="s">
        <v>109</v>
      </c>
      <c r="H2" s="42" t="s">
        <v>110</v>
      </c>
      <c r="I2" s="42" t="s">
        <v>111</v>
      </c>
      <c r="J2" s="42" t="s">
        <v>112</v>
      </c>
      <c r="K2" s="42" t="s">
        <v>113</v>
      </c>
      <c r="L2" s="42" t="s">
        <v>114</v>
      </c>
      <c r="M2" s="42" t="s">
        <v>115</v>
      </c>
      <c r="N2" s="42" t="s">
        <v>116</v>
      </c>
    </row>
    <row r="3" customFormat="false" ht="14.25" hidden="false" customHeight="false" outlineLevel="0" collapsed="false">
      <c r="D3" s="43" t="n">
        <v>1</v>
      </c>
      <c r="E3" s="43" t="s">
        <v>117</v>
      </c>
      <c r="F3" s="0" t="s">
        <v>118</v>
      </c>
      <c r="G3" s="0" t="s">
        <v>119</v>
      </c>
      <c r="H3" s="43" t="s">
        <v>120</v>
      </c>
      <c r="I3" s="43" t="s">
        <v>121</v>
      </c>
      <c r="J3" s="44" t="s">
        <v>122</v>
      </c>
      <c r="K3" s="43" t="s">
        <v>123</v>
      </c>
      <c r="L3" s="45" t="s">
        <v>124</v>
      </c>
      <c r="M3" s="45" t="s">
        <v>124</v>
      </c>
      <c r="N3" s="0" t="s">
        <v>125</v>
      </c>
    </row>
    <row r="4" customFormat="false" ht="14.25" hidden="false" customHeight="false" outlineLevel="0" collapsed="false">
      <c r="D4" s="43" t="n">
        <v>2</v>
      </c>
      <c r="E4" s="43" t="s">
        <v>117</v>
      </c>
      <c r="F4" s="0" t="s">
        <v>118</v>
      </c>
      <c r="G4" s="0" t="s">
        <v>119</v>
      </c>
      <c r="H4" s="43" t="s">
        <v>126</v>
      </c>
      <c r="I4" s="43" t="s">
        <v>127</v>
      </c>
      <c r="J4" s="44" t="s">
        <v>128</v>
      </c>
      <c r="K4" s="43"/>
      <c r="L4" s="45" t="s">
        <v>124</v>
      </c>
      <c r="M4" s="45" t="s">
        <v>124</v>
      </c>
      <c r="N4" s="0" t="s">
        <v>125</v>
      </c>
    </row>
    <row r="5" customFormat="false" ht="14.25" hidden="false" customHeight="false" outlineLevel="0" collapsed="false">
      <c r="D5" s="43" t="n">
        <v>3</v>
      </c>
      <c r="E5" s="43" t="s">
        <v>35</v>
      </c>
      <c r="F5" s="0" t="s">
        <v>34</v>
      </c>
      <c r="G5" s="0" t="s">
        <v>119</v>
      </c>
      <c r="H5" s="43" t="s">
        <v>129</v>
      </c>
      <c r="I5" s="43" t="s">
        <v>130</v>
      </c>
      <c r="J5" s="46" t="n">
        <v>48408</v>
      </c>
      <c r="K5" s="43" t="s">
        <v>131</v>
      </c>
      <c r="L5" s="45" t="s">
        <v>124</v>
      </c>
      <c r="M5" s="45" t="s">
        <v>124</v>
      </c>
      <c r="N5" s="0" t="s">
        <v>125</v>
      </c>
    </row>
    <row r="6" customFormat="false" ht="14.25" hidden="false" customHeight="false" outlineLevel="0" collapsed="false">
      <c r="D6" s="43" t="n">
        <v>4</v>
      </c>
      <c r="E6" s="43" t="s">
        <v>35</v>
      </c>
      <c r="F6" s="0" t="s">
        <v>34</v>
      </c>
      <c r="G6" s="0" t="s">
        <v>119</v>
      </c>
      <c r="H6" s="43" t="s">
        <v>132</v>
      </c>
      <c r="I6" s="43" t="s">
        <v>133</v>
      </c>
      <c r="J6" s="46" t="n">
        <v>49871</v>
      </c>
      <c r="K6" s="43"/>
      <c r="L6" s="45" t="s">
        <v>124</v>
      </c>
      <c r="M6" s="45" t="s">
        <v>124</v>
      </c>
      <c r="N6" s="0" t="s">
        <v>125</v>
      </c>
    </row>
    <row r="7" customFormat="false" ht="14.25" hidden="false" customHeight="false" outlineLevel="0" collapsed="false">
      <c r="D7" s="43" t="n">
        <v>5</v>
      </c>
      <c r="E7" s="43" t="s">
        <v>35</v>
      </c>
      <c r="F7" s="0" t="s">
        <v>34</v>
      </c>
      <c r="G7" s="0" t="s">
        <v>119</v>
      </c>
      <c r="H7" s="43" t="s">
        <v>134</v>
      </c>
      <c r="I7" s="43" t="s">
        <v>135</v>
      </c>
      <c r="J7" s="46" t="n">
        <v>27478</v>
      </c>
      <c r="K7" s="43"/>
      <c r="L7" s="45" t="s">
        <v>124</v>
      </c>
      <c r="M7" s="45" t="s">
        <v>124</v>
      </c>
      <c r="N7" s="0" t="s">
        <v>125</v>
      </c>
    </row>
    <row r="8" customFormat="false" ht="14.25" hidden="false" customHeight="false" outlineLevel="0" collapsed="false">
      <c r="D8" s="43" t="n">
        <v>6</v>
      </c>
      <c r="E8" s="43" t="s">
        <v>35</v>
      </c>
      <c r="F8" s="0" t="s">
        <v>34</v>
      </c>
      <c r="G8" s="0" t="s">
        <v>119</v>
      </c>
      <c r="H8" s="43" t="s">
        <v>136</v>
      </c>
      <c r="I8" s="43" t="s">
        <v>137</v>
      </c>
      <c r="J8" s="46" t="n">
        <v>46999</v>
      </c>
      <c r="K8" s="43"/>
      <c r="L8" s="45" t="s">
        <v>124</v>
      </c>
      <c r="M8" s="45" t="s">
        <v>124</v>
      </c>
      <c r="N8" s="0" t="s">
        <v>125</v>
      </c>
    </row>
    <row r="9" customFormat="false" ht="14.25" hidden="false" customHeight="false" outlineLevel="0" collapsed="false">
      <c r="D9" s="43" t="n">
        <v>7</v>
      </c>
      <c r="E9" s="43" t="s">
        <v>37</v>
      </c>
      <c r="F9" s="0" t="s">
        <v>36</v>
      </c>
      <c r="G9" s="0" t="s">
        <v>119</v>
      </c>
      <c r="H9" s="43" t="s">
        <v>138</v>
      </c>
      <c r="I9" s="43" t="s">
        <v>139</v>
      </c>
      <c r="J9" s="46" t="n">
        <v>59164</v>
      </c>
      <c r="K9" s="43" t="s">
        <v>140</v>
      </c>
      <c r="L9" s="45" t="s">
        <v>124</v>
      </c>
      <c r="M9" s="45" t="s">
        <v>124</v>
      </c>
      <c r="N9" s="0" t="s">
        <v>125</v>
      </c>
    </row>
    <row r="10" customFormat="false" ht="14.25" hidden="false" customHeight="false" outlineLevel="0" collapsed="false">
      <c r="D10" s="43" t="n">
        <v>8</v>
      </c>
      <c r="E10" s="43" t="s">
        <v>141</v>
      </c>
      <c r="F10" s="0" t="s">
        <v>142</v>
      </c>
      <c r="G10" s="0" t="s">
        <v>119</v>
      </c>
      <c r="H10" s="43" t="s">
        <v>143</v>
      </c>
      <c r="I10" s="43" t="s">
        <v>144</v>
      </c>
      <c r="J10" s="44" t="s">
        <v>145</v>
      </c>
      <c r="K10" s="43" t="s">
        <v>145</v>
      </c>
      <c r="L10" s="45" t="s">
        <v>124</v>
      </c>
      <c r="M10" s="45" t="s">
        <v>124</v>
      </c>
      <c r="N10" s="0" t="s">
        <v>125</v>
      </c>
    </row>
    <row r="11" customFormat="false" ht="14.25" hidden="false" customHeight="false" outlineLevel="0" collapsed="false">
      <c r="D11" s="43" t="n">
        <v>9</v>
      </c>
      <c r="E11" s="43" t="s">
        <v>146</v>
      </c>
      <c r="F11" s="0" t="s">
        <v>52</v>
      </c>
      <c r="G11" s="0" t="s">
        <v>147</v>
      </c>
      <c r="H11" s="43" t="s">
        <v>148</v>
      </c>
      <c r="I11" s="43" t="s">
        <v>149</v>
      </c>
      <c r="J11" s="46" t="n">
        <v>9829</v>
      </c>
      <c r="K11" s="43" t="s">
        <v>150</v>
      </c>
      <c r="L11" s="45" t="s">
        <v>124</v>
      </c>
      <c r="M11" s="45" t="s">
        <v>124</v>
      </c>
      <c r="N11" s="0" t="s">
        <v>125</v>
      </c>
    </row>
    <row r="12" customFormat="false" ht="14.25" hidden="false" customHeight="false" outlineLevel="0" collapsed="false">
      <c r="D12" s="43" t="n">
        <v>10</v>
      </c>
      <c r="E12" s="43" t="s">
        <v>146</v>
      </c>
      <c r="F12" s="0" t="s">
        <v>52</v>
      </c>
      <c r="G12" s="0" t="s">
        <v>119</v>
      </c>
      <c r="H12" s="43" t="s">
        <v>151</v>
      </c>
      <c r="I12" s="43" t="s">
        <v>152</v>
      </c>
      <c r="J12" s="46" t="n">
        <v>68865</v>
      </c>
      <c r="K12" s="43"/>
      <c r="L12" s="45" t="s">
        <v>124</v>
      </c>
      <c r="M12" s="45" t="s">
        <v>124</v>
      </c>
      <c r="N12" s="0" t="s">
        <v>125</v>
      </c>
    </row>
    <row r="13" customFormat="false" ht="14.25" hidden="false" customHeight="false" outlineLevel="0" collapsed="false">
      <c r="D13" s="43" t="n">
        <v>11</v>
      </c>
      <c r="E13" s="43" t="s">
        <v>153</v>
      </c>
      <c r="F13" s="0" t="s">
        <v>154</v>
      </c>
      <c r="G13" s="0" t="s">
        <v>119</v>
      </c>
      <c r="H13" s="43" t="s">
        <v>155</v>
      </c>
      <c r="I13" s="43" t="s">
        <v>156</v>
      </c>
      <c r="J13" s="44" t="s">
        <v>157</v>
      </c>
      <c r="K13" s="43" t="s">
        <v>157</v>
      </c>
      <c r="L13" s="45" t="s">
        <v>124</v>
      </c>
      <c r="M13" s="45" t="s">
        <v>124</v>
      </c>
      <c r="N13" s="0" t="s">
        <v>125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53515625" defaultRowHeight="14.25" customHeight="false" zeroHeight="false" outlineLevelRow="0" outlineLevelCol="0"/>
  <cols>
    <col collapsed="false" customWidth="true" hidden="false" outlineLevel="0" max="1" min="1" style="0" width="9.58"/>
    <col collapsed="false" customWidth="true" hidden="false" outlineLevel="0" max="2" min="2" style="0" width="2.75"/>
    <col collapsed="false" customWidth="true" hidden="false" outlineLevel="0" max="3" min="3" style="0" width="38.21"/>
    <col collapsed="false" customWidth="true" hidden="false" outlineLevel="0" max="4" min="4" style="0" width="8.28"/>
    <col collapsed="false" customWidth="true" hidden="false" outlineLevel="0" max="5" min="5" style="0" width="7.85"/>
    <col collapsed="false" customWidth="true" hidden="false" outlineLevel="0" max="6" min="6" style="0" width="2.42"/>
    <col collapsed="false" customWidth="true" hidden="false" outlineLevel="0" max="7" min="7" style="0" width="20.85"/>
    <col collapsed="false" customWidth="true" hidden="false" outlineLevel="0" max="8" min="8" style="0" width="9.68"/>
    <col collapsed="false" customWidth="true" hidden="false" outlineLevel="0" max="9" min="9" style="0" width="2.42"/>
    <col collapsed="false" customWidth="true" hidden="false" outlineLevel="0" max="10" min="10" style="0" width="23.03"/>
    <col collapsed="false" customWidth="true" hidden="false" outlineLevel="0" max="12" min="11" style="0" width="3.61"/>
    <col collapsed="false" customWidth="true" hidden="false" outlineLevel="0" max="13" min="13" style="0" width="10.66"/>
    <col collapsed="false" customWidth="true" hidden="false" outlineLevel="0" max="14" min="14" style="0" width="9.79"/>
    <col collapsed="false" customWidth="true" hidden="false" outlineLevel="0" max="15" min="15" style="0" width="3.07"/>
    <col collapsed="false" customWidth="true" hidden="false" outlineLevel="0" max="16" min="16" style="0" width="8.49"/>
    <col collapsed="false" customWidth="true" hidden="false" outlineLevel="0" max="17" min="17" style="0" width="9.9"/>
    <col collapsed="false" customWidth="true" hidden="false" outlineLevel="0" max="18" min="18" style="0" width="10.45"/>
    <col collapsed="false" customWidth="true" hidden="false" outlineLevel="0" max="19" min="19" style="0" width="3.18"/>
  </cols>
  <sheetData>
    <row r="1" customFormat="false" ht="14.25" hidden="false" customHeight="false" outlineLevel="0" collapsed="false">
      <c r="A1" s="0" t="s">
        <v>158</v>
      </c>
      <c r="B1" s="0" t="s">
        <v>159</v>
      </c>
      <c r="C1" s="0" t="s">
        <v>160</v>
      </c>
      <c r="D1" s="0" t="s">
        <v>161</v>
      </c>
      <c r="E1" s="0" t="s">
        <v>162</v>
      </c>
      <c r="F1" s="0" t="s">
        <v>163</v>
      </c>
      <c r="G1" s="0" t="s">
        <v>164</v>
      </c>
      <c r="H1" s="0" t="s">
        <v>165</v>
      </c>
      <c r="I1" s="0" t="s">
        <v>163</v>
      </c>
      <c r="J1" s="0" t="s">
        <v>166</v>
      </c>
      <c r="K1" s="0" t="s">
        <v>167</v>
      </c>
      <c r="L1" s="0" t="s">
        <v>168</v>
      </c>
      <c r="M1" s="0" t="s">
        <v>169</v>
      </c>
      <c r="N1" s="0" t="s">
        <v>170</v>
      </c>
      <c r="O1" s="0" t="s">
        <v>171</v>
      </c>
      <c r="P1" s="0" t="s">
        <v>172</v>
      </c>
      <c r="Q1" s="0" t="s">
        <v>173</v>
      </c>
      <c r="R1" s="0" t="s">
        <v>174</v>
      </c>
      <c r="S1" s="0" t="s">
        <v>175</v>
      </c>
    </row>
    <row r="2" customFormat="false" ht="14.25" hidden="false" customHeight="false" outlineLevel="0" collapsed="false">
      <c r="A2" s="0" t="n">
        <v>79939910</v>
      </c>
      <c r="B2" s="0" t="n">
        <v>5</v>
      </c>
      <c r="C2" s="0" t="s">
        <v>176</v>
      </c>
      <c r="D2" s="0" t="n">
        <v>1</v>
      </c>
      <c r="E2" s="0" t="n">
        <v>9591380</v>
      </c>
      <c r="F2" s="0" t="n">
        <v>6</v>
      </c>
      <c r="G2" s="0" t="s">
        <v>177</v>
      </c>
      <c r="H2" s="0" t="n">
        <v>10482728</v>
      </c>
      <c r="I2" s="0" t="n">
        <v>4</v>
      </c>
      <c r="J2" s="0" t="s">
        <v>178</v>
      </c>
      <c r="K2" s="0" t="s">
        <v>179</v>
      </c>
      <c r="L2" s="0" t="n">
        <v>1</v>
      </c>
      <c r="M2" s="0" t="s">
        <v>180</v>
      </c>
      <c r="N2" s="0" t="s">
        <v>181</v>
      </c>
      <c r="O2" s="0" t="n">
        <v>1</v>
      </c>
      <c r="P2" s="0" t="s">
        <v>182</v>
      </c>
      <c r="Q2" s="0" t="s">
        <v>183</v>
      </c>
      <c r="R2" s="0" t="s">
        <v>184</v>
      </c>
      <c r="S2" s="0" t="s">
        <v>185</v>
      </c>
    </row>
    <row r="3" customFormat="false" ht="14.25" hidden="false" customHeight="false" outlineLevel="0" collapsed="false">
      <c r="A3" s="0" t="n">
        <v>79939910</v>
      </c>
      <c r="B3" s="0" t="n">
        <v>5</v>
      </c>
      <c r="C3" s="0" t="s">
        <v>176</v>
      </c>
      <c r="D3" s="0" t="n">
        <v>1</v>
      </c>
      <c r="E3" s="0" t="n">
        <v>13704164</v>
      </c>
      <c r="F3" s="0" t="n">
        <v>2</v>
      </c>
      <c r="G3" s="0" t="s">
        <v>186</v>
      </c>
      <c r="H3" s="0" t="n">
        <v>25345484</v>
      </c>
      <c r="I3" s="0" t="n">
        <v>9</v>
      </c>
      <c r="J3" s="0" t="s">
        <v>187</v>
      </c>
      <c r="K3" s="0" t="s">
        <v>188</v>
      </c>
      <c r="L3" s="0" t="n">
        <v>2</v>
      </c>
      <c r="M3" s="0" t="s">
        <v>189</v>
      </c>
      <c r="N3" s="0" t="s">
        <v>181</v>
      </c>
      <c r="O3" s="0" t="n">
        <v>1</v>
      </c>
      <c r="P3" s="0" t="s">
        <v>190</v>
      </c>
      <c r="Q3" s="0" t="s">
        <v>191</v>
      </c>
      <c r="R3" s="0" t="s">
        <v>192</v>
      </c>
      <c r="S3" s="0" t="s">
        <v>193</v>
      </c>
    </row>
    <row r="4" customFormat="false" ht="14.25" hidden="false" customHeight="false" outlineLevel="0" collapsed="false">
      <c r="A4" s="0" t="n">
        <v>79939910</v>
      </c>
      <c r="B4" s="0" t="n">
        <v>5</v>
      </c>
      <c r="C4" s="0" t="s">
        <v>176</v>
      </c>
      <c r="D4" s="0" t="n">
        <v>1</v>
      </c>
      <c r="E4" s="0" t="n">
        <v>27000648</v>
      </c>
      <c r="F4" s="0" t="n">
        <v>5</v>
      </c>
      <c r="G4" s="0" t="s">
        <v>194</v>
      </c>
      <c r="H4" s="0" t="n">
        <v>28455315</v>
      </c>
      <c r="I4" s="0" t="n">
        <v>2</v>
      </c>
      <c r="J4" s="0" t="s">
        <v>195</v>
      </c>
      <c r="K4" s="0" t="s">
        <v>179</v>
      </c>
      <c r="L4" s="0" t="n">
        <v>2</v>
      </c>
      <c r="M4" s="0" t="s">
        <v>189</v>
      </c>
      <c r="N4" s="0" t="s">
        <v>181</v>
      </c>
      <c r="O4" s="0" t="n">
        <v>1</v>
      </c>
      <c r="P4" s="0" t="s">
        <v>196</v>
      </c>
      <c r="Q4" s="0" t="s">
        <v>197</v>
      </c>
      <c r="R4" s="0" t="s">
        <v>198</v>
      </c>
      <c r="S4" s="0" t="s">
        <v>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LibreOffice/26.2.2.2$Windows_X86_64 LibreOffice_project/1f77d10d6938fd34972958f64b2bcfa54f8b1ba5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iContador</cp:category>
  <dcterms:created xsi:type="dcterms:W3CDTF">2022-06-01T13:03:48Z</dcterms:created>
  <dc:creator>iContador - iQAMP CHILE LTDA.</dc:creator>
  <dc:description>Libro de compras comprendido desde  al  - iQAMP CHILE LTDA.</dc:description>
  <cp:keywords>Libro Remuneraciones Contabilidad - iContador</cp:keywords>
  <dc:language>es-CL</dc:language>
  <cp:lastModifiedBy/>
  <dcterms:modified xsi:type="dcterms:W3CDTF">2026-04-30T12:17:34Z</dcterms:modified>
  <cp:revision>4</cp:revision>
  <dc:subject>www.iqamp.cl</dc:subject>
  <dc:title>Libro Remuneraciones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