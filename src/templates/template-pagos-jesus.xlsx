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 defaultThemeVersion="124226"/>
  <xr:revisionPtr revIDLastSave="0" documentId="13_ncr:1_{381D5F50-2D49-45B6-B228-082FEFB501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Hoja1!$A$1:$M$1</definedName>
  </definedNames>
  <calcPr calcId="191029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J2" i="1"/>
  <c r="G2" i="1"/>
  <c r="F2" i="1"/>
  <c r="E2" i="1"/>
  <c r="C2" i="1"/>
  <c r="I20" i="1"/>
  <c r="K20" i="1" s="1"/>
  <c r="L20" i="1" s="1"/>
  <c r="M20" i="1" s="1"/>
  <c r="I21" i="1"/>
  <c r="K21" i="1" s="1"/>
  <c r="L21" i="1" s="1"/>
  <c r="M21" i="1" s="1"/>
  <c r="I22" i="1"/>
  <c r="K22" i="1" s="1"/>
  <c r="L22" i="1" s="1"/>
  <c r="M22" i="1" s="1"/>
  <c r="I23" i="1"/>
  <c r="K23" i="1" s="1"/>
  <c r="L23" i="1" s="1"/>
  <c r="M23" i="1" s="1"/>
  <c r="I24" i="1"/>
  <c r="K24" i="1" s="1"/>
  <c r="L24" i="1" s="1"/>
  <c r="M24" i="1" s="1"/>
  <c r="I25" i="1"/>
  <c r="K25" i="1" s="1"/>
  <c r="L25" i="1" s="1"/>
  <c r="M25" i="1" s="1"/>
  <c r="I26" i="1"/>
  <c r="K26" i="1" s="1"/>
  <c r="L26" i="1" s="1"/>
  <c r="M26" i="1" s="1"/>
  <c r="I27" i="1"/>
  <c r="K27" i="1" s="1"/>
  <c r="L27" i="1" s="1"/>
  <c r="M27" i="1" s="1"/>
  <c r="I28" i="1"/>
  <c r="K28" i="1" s="1"/>
  <c r="L28" i="1" s="1"/>
  <c r="M28" i="1" s="1"/>
  <c r="I29" i="1"/>
  <c r="K29" i="1" s="1"/>
  <c r="L29" i="1" s="1"/>
  <c r="M29" i="1" s="1"/>
  <c r="I30" i="1"/>
  <c r="K30" i="1" s="1"/>
  <c r="L30" i="1" s="1"/>
  <c r="M30" i="1" s="1"/>
  <c r="I31" i="1"/>
  <c r="K31" i="1" s="1"/>
  <c r="L31" i="1" s="1"/>
  <c r="M31" i="1" s="1"/>
  <c r="I32" i="1"/>
  <c r="K32" i="1" s="1"/>
  <c r="L32" i="1" s="1"/>
  <c r="M32" i="1" s="1"/>
  <c r="I33" i="1"/>
  <c r="K33" i="1" s="1"/>
  <c r="L33" i="1" s="1"/>
  <c r="M33" i="1" s="1"/>
  <c r="I34" i="1"/>
  <c r="K34" i="1" s="1"/>
  <c r="L34" i="1" s="1"/>
  <c r="M34" i="1" s="1"/>
  <c r="I35" i="1"/>
  <c r="K35" i="1" s="1"/>
  <c r="L35" i="1" s="1"/>
  <c r="M35" i="1" s="1"/>
  <c r="I36" i="1"/>
  <c r="K36" i="1" s="1"/>
  <c r="L36" i="1" s="1"/>
  <c r="M36" i="1" s="1"/>
  <c r="I37" i="1"/>
  <c r="K37" i="1" s="1"/>
  <c r="L37" i="1" s="1"/>
  <c r="M37" i="1" s="1"/>
  <c r="I38" i="1"/>
  <c r="K38" i="1" s="1"/>
  <c r="L38" i="1" s="1"/>
  <c r="M38" i="1" s="1"/>
  <c r="I39" i="1"/>
  <c r="K39" i="1" s="1"/>
  <c r="L39" i="1" s="1"/>
  <c r="M39" i="1" s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I2" i="1"/>
  <c r="K2" i="1" s="1"/>
  <c r="L2" i="1" s="1"/>
  <c r="M2" i="1" s="1"/>
  <c r="H2" i="1"/>
  <c r="I19" i="1" l="1"/>
  <c r="K19" i="1" s="1"/>
  <c r="L19" i="1" s="1"/>
  <c r="M19" i="1" s="1"/>
  <c r="H19" i="1"/>
  <c r="I18" i="1" l="1"/>
  <c r="K18" i="1" s="1"/>
  <c r="L18" i="1" s="1"/>
  <c r="M18" i="1" s="1"/>
  <c r="H18" i="1"/>
  <c r="I16" i="1"/>
  <c r="K16" i="1" s="1"/>
  <c r="L16" i="1" s="1"/>
  <c r="M16" i="1" s="1"/>
  <c r="I17" i="1"/>
  <c r="K17" i="1" s="1"/>
  <c r="L17" i="1" s="1"/>
  <c r="M17" i="1" s="1"/>
  <c r="H16" i="1"/>
  <c r="H17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I3" i="1"/>
  <c r="K3" i="1" s="1"/>
  <c r="L3" i="1" s="1"/>
  <c r="M3" i="1" s="1"/>
  <c r="I4" i="1"/>
  <c r="K4" i="1" s="1"/>
  <c r="L4" i="1" s="1"/>
  <c r="M4" i="1" s="1"/>
  <c r="I5" i="1"/>
  <c r="K5" i="1" s="1"/>
  <c r="L5" i="1" s="1"/>
  <c r="M5" i="1" s="1"/>
  <c r="I6" i="1"/>
  <c r="K6" i="1" s="1"/>
  <c r="L6" i="1" s="1"/>
  <c r="M6" i="1" s="1"/>
  <c r="I7" i="1"/>
  <c r="K7" i="1" s="1"/>
  <c r="L7" i="1" s="1"/>
  <c r="M7" i="1" s="1"/>
  <c r="I8" i="1"/>
  <c r="K8" i="1" s="1"/>
  <c r="L8" i="1" s="1"/>
  <c r="M8" i="1" s="1"/>
  <c r="I9" i="1"/>
  <c r="K9" i="1" s="1"/>
  <c r="L9" i="1" s="1"/>
  <c r="M9" i="1" s="1"/>
  <c r="I10" i="1"/>
  <c r="K10" i="1" s="1"/>
  <c r="L10" i="1" s="1"/>
  <c r="M10" i="1" s="1"/>
  <c r="I11" i="1"/>
  <c r="K11" i="1" s="1"/>
  <c r="L11" i="1" s="1"/>
  <c r="M11" i="1" s="1"/>
  <c r="I12" i="1"/>
  <c r="K12" i="1" s="1"/>
  <c r="L12" i="1" s="1"/>
  <c r="M12" i="1" s="1"/>
  <c r="I13" i="1"/>
  <c r="K13" i="1" s="1"/>
  <c r="L13" i="1" s="1"/>
  <c r="M13" i="1" s="1"/>
  <c r="I14" i="1"/>
  <c r="K14" i="1" s="1"/>
  <c r="L14" i="1" s="1"/>
  <c r="M14" i="1" s="1"/>
  <c r="I15" i="1"/>
  <c r="K15" i="1" s="1"/>
  <c r="L15" i="1" s="1"/>
  <c r="M15" i="1" s="1"/>
</calcChain>
</file>

<file path=xl/sharedStrings.xml><?xml version="1.0" encoding="utf-8"?>
<sst xmlns="http://schemas.openxmlformats.org/spreadsheetml/2006/main" count="92" uniqueCount="17">
  <si>
    <t>Cta_origen</t>
  </si>
  <si>
    <t>moneda_origen</t>
  </si>
  <si>
    <t>Cta_destino</t>
  </si>
  <si>
    <t>moneda_destino</t>
  </si>
  <si>
    <t>Cod_banco</t>
  </si>
  <si>
    <t>RUT benef.</t>
  </si>
  <si>
    <t>nombre benef.</t>
  </si>
  <si>
    <t>Mto Total</t>
  </si>
  <si>
    <t>Glosa TEF</t>
  </si>
  <si>
    <t>Correo</t>
  </si>
  <si>
    <t>Glosa correo</t>
  </si>
  <si>
    <t>Glosa Cartola Cliente</t>
  </si>
  <si>
    <t>Glosa Cartola Beneficiario</t>
  </si>
  <si>
    <t>CLP</t>
  </si>
  <si>
    <t>PR</t>
  </si>
  <si>
    <t>FACT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</si>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</sst>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;[Red]\-&quot;$&quot;\ #,##0"/>
    <numFmt numFmtId="165" formatCode="_ [$$-340A]* #,##0_ ;_ [$$-340A]* \-#,##0_ ;_ [$$-340A]* &quot;-&quot;??_ ;_ @_ "/>
  </numFmts>
  <fonts count="9" x14ac:knownFonts="1"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/>
    <xf numFmtId="0" fontId="2" fillId="0" borderId="0"/>
  </cellStyleXfs>
  <cellXfs count="17">
    <xf numFmtId="0" fontId="0" fillId="0" borderId="0" xfId="0"/>
    <xf numFmtId="1" fontId="1" fillId="2" borderId="1" xfId="0" applyNumberFormat="1" applyFont="1" applyFill="1" applyBorder="1"/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horizontal="right"/>
    </xf>
    <xf numFmtId="165" fontId="1" fillId="2" borderId="1" xfId="0" applyNumberFormat="1" applyFont="1" applyFill="1" applyBorder="1" applyAlignment="1">
      <alignment horizontal="left"/>
    </xf>
    <xf numFmtId="0" fontId="3" fillId="0" borderId="0" xfId="1"/>
    <xf numFmtId="0" fontId="1" fillId="2" borderId="0" xfId="0" applyFont="1" applyFill="1"/>
    <xf numFmtId="3" fontId="0" fillId="0" borderId="0" xfId="0" applyNumberFormat="1"/>
    <xf numFmtId="0" fontId="0" fillId="3" borderId="1" xfId="3" applyFont="1" applyFill="1" applyBorder="1"/>
    <xf numFmtId="0" fontId="5" fillId="0" borderId="0" xfId="0" applyFont="1"/>
    <xf numFmtId="3" fontId="5" fillId="0" borderId="0" xfId="0" applyNumberFormat="1" applyFont="1"/>
    <xf numFmtId="3" fontId="6" fillId="0" borderId="0" xfId="0" applyNumberFormat="1" applyFont="1"/>
    <xf numFmtId="3" fontId="7" fillId="0" borderId="0" xfId="0" applyNumberFormat="1" applyFont="1"/>
    <xf numFmtId="164" fontId="8" fillId="0" borderId="0" xfId="0" applyNumberFormat="1" applyFont="1"/>
    <xf numFmtId="0" fontId="0" fillId="0" borderId="1" xfId="3" applyFont="1" applyBorder="1"/>
    <xf numFmtId="0" fontId="0" fillId="3" borderId="2" xfId="3" applyFont="1" applyFill="1" applyBorder="1"/>
    <xf numFmtId="0" fontId="0" fillId="0" borderId="2" xfId="3" applyFont="1" applyBorder="1"/>
  </cellXfs>
  <cellStyles count="5">
    <cellStyle name="Hipervínculo" xfId="1" builtinId="8"/>
    <cellStyle name="Normal" xfId="0" builtinId="0"/>
    <cellStyle name="Normal 2" xfId="3" xr:uid="{00000000-0005-0000-0000-000002000000}"/>
    <cellStyle name="Normal 3" xfId="2" xr:uid="{00000000-0005-0000-0000-000003000000}"/>
    <cellStyle name="Normal 4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se%20Luis\Desktop\JOSE%20LUIS%20PASCUAL%20DOCUMENTOS%20LCDJ\PAGOS%20BANCO\PROVEEDORES\MASTER%20PROVEEDORES%20JESUS.xlsx" TargetMode="External"/><Relationship Id="rId1" Type="http://schemas.openxmlformats.org/officeDocument/2006/relationships/externalLinkPath" Target="MASTER%20PROVEEDORES%20JES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PROVEEDORES"/>
      <sheetName val="CODIGOS SWFIT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topLeftCell="H1" zoomScaleNormal="100" workbookViewId="0">
      <pane ySplit="1" topLeftCell="A2" activePane="bottomLeft" state="frozen"/>
      <selection pane="bottomLeft" activeCell="P2" sqref="P2:P6"/>
    </sheetView>
  </sheetViews>
  <sheetFormatPr baseColWidth="10" defaultColWidth="8.85546875" defaultRowHeight="15" x14ac:dyDescent="0.25"/>
  <cols>
    <col min="1" max="1" width="13.140625" bestFit="1" customWidth="1"/>
    <col min="2" max="2" width="15.28515625" bestFit="1" customWidth="1"/>
    <col min="3" max="3" width="13.85546875" bestFit="1" customWidth="1"/>
    <col min="4" max="4" width="16.140625" bestFit="1" customWidth="1"/>
    <col min="5" max="5" width="11.140625" bestFit="1" customWidth="1"/>
    <col min="6" max="6" width="11" bestFit="1" customWidth="1"/>
    <col min="7" max="7" width="43.140625" bestFit="1" customWidth="1"/>
    <col min="8" max="8" width="10.5703125" bestFit="1" customWidth="1"/>
    <col min="9" max="9" width="15" bestFit="1" customWidth="1"/>
    <col min="10" max="10" width="35.85546875" bestFit="1" customWidth="1"/>
    <col min="11" max="11" width="12.5703125" bestFit="1" customWidth="1"/>
    <col min="12" max="12" width="20.42578125" bestFit="1" customWidth="1"/>
    <col min="13" max="13" width="34.140625" bestFit="1" customWidth="1"/>
    <col min="14" max="256" width="11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P1" s="6" t="s">
        <v>14</v>
      </c>
      <c r="Q1" s="6" t="s">
        <v>15</v>
      </c>
      <c r="R1" s="6" t="s">
        <v>16</v>
      </c>
    </row>
    <row r="2" spans="1:18" x14ac:dyDescent="0.25">
      <c r="A2">
        <v>71068862</v>
      </c>
      <c r="B2" t="s">
        <v>13</v>
      </c>
      <c r="C2" t="e">
        <f>VLOOKUP(P2,[1]!Tabla1[#All],7,FALSE)</f>
        <v>#N/A</v>
      </c>
      <c r="D2" t="s">
        <v>13</v>
      </c>
      <c r="E2" t="e">
        <f>VLOOKUP(P2,[1]!Tabla1[#All],8,FALSE)</f>
        <v>#N/A</v>
      </c>
      <c r="F2" t="e">
        <f>VLOOKUP(P2,[1]!Tabla1[#All],5,FALSE)</f>
        <v>#N/A</v>
      </c>
      <c r="G2" t="e">
        <f>VLOOKUP(P2,[1]!Tabla1[#All],2,FALSE)</f>
        <v>#N/A</v>
      </c>
      <c r="H2" s="7">
        <f t="shared" ref="H2:H39" si="0">R2</f>
        <v>0</v>
      </c>
      <c r="I2" t="str">
        <f>"FACT "&amp;Q2</f>
        <v xml:space="preserve">FACT </v>
      </c>
      <c r="J2" s="5" t="e">
        <f>VLOOKUP(P2,[1]!Tabla1[#All],9,FALSE)</f>
        <v>#N/A</v>
      </c>
      <c r="K2" t="str">
        <f>I2</f>
        <v xml:space="preserve">FACT </v>
      </c>
      <c r="L2" t="str">
        <f>K2</f>
        <v xml:space="preserve">FACT </v>
      </c>
      <c r="M2" t="str">
        <f>L2&amp;" J. PASCUAL Y FAMILIA SPA"</f>
        <v>FACT  J. PASCUAL Y FAMILIA SPA</v>
      </c>
      <c r="P2" s="14"/>
      <c r="Q2" s="9"/>
      <c r="R2" s="13"/>
    </row>
    <row r="3" spans="1:18" x14ac:dyDescent="0.25">
      <c r="A3">
        <v>71068862</v>
      </c>
      <c r="B3" t="s">
        <v>13</v>
      </c>
      <c r="C3" t="e">
        <f>VLOOKUP(P3,[1]!Tabla1[#All],7,FALSE)</f>
        <v>#N/A</v>
      </c>
      <c r="D3" t="s">
        <v>13</v>
      </c>
      <c r="E3" t="e">
        <f>VLOOKUP(P3,[1]!Tabla1[#All],8,FALSE)</f>
        <v>#N/A</v>
      </c>
      <c r="F3" t="e">
        <f>VLOOKUP(P3,[1]!Tabla1[#All],5,FALSE)</f>
        <v>#N/A</v>
      </c>
      <c r="G3" t="e">
        <f>VLOOKUP(P3,[1]!Tabla1[#All],2,FALSE)</f>
        <v>#N/A</v>
      </c>
      <c r="H3" s="7">
        <f t="shared" si="0"/>
        <v>0</v>
      </c>
      <c r="I3" t="str">
        <f>"FACT "&amp;Q3</f>
        <v xml:space="preserve">FACT </v>
      </c>
      <c r="J3" s="5" t="e">
        <f>VLOOKUP(P3,[1]!Tabla1[#All],9,FALSE)</f>
        <v>#N/A</v>
      </c>
      <c r="K3" t="str">
        <f>I3</f>
        <v xml:space="preserve">FACT </v>
      </c>
      <c r="L3" t="str">
        <f>K3</f>
        <v xml:space="preserve">FACT </v>
      </c>
      <c r="M3" t="str">
        <f>L3&amp;" J. PASCUAL Y FAMILIA SPA"</f>
        <v>FACT  J. PASCUAL Y FAMILIA SPA</v>
      </c>
      <c r="P3" s="15"/>
      <c r="Q3" s="9"/>
      <c r="R3" s="13"/>
    </row>
    <row r="4" spans="1:18" x14ac:dyDescent="0.25">
      <c r="A4">
        <v>71068862</v>
      </c>
      <c r="B4" t="s">
        <v>13</v>
      </c>
      <c r="C4" t="e">
        <f>VLOOKUP(P4,[1]!Tabla1[#All],7,FALSE)</f>
        <v>#N/A</v>
      </c>
      <c r="D4" t="s">
        <v>13</v>
      </c>
      <c r="E4" t="e">
        <f>VLOOKUP(P4,[1]!Tabla1[#All],8,FALSE)</f>
        <v>#N/A</v>
      </c>
      <c r="F4" t="e">
        <f>VLOOKUP(P4,[1]!Tabla1[#All],5,FALSE)</f>
        <v>#N/A</v>
      </c>
      <c r="G4" t="e">
        <f>VLOOKUP(P4,[1]!Tabla1[#All],2,FALSE)</f>
        <v>#N/A</v>
      </c>
      <c r="H4" s="7">
        <f t="shared" si="0"/>
        <v>0</v>
      </c>
      <c r="I4" t="str">
        <f t="shared" ref="I4:I39" si="1">"FACT "&amp;Q4</f>
        <v xml:space="preserve">FACT </v>
      </c>
      <c r="J4" s="5" t="e">
        <f>VLOOKUP(P4,[1]!Tabla1[#All],9,FALSE)</f>
        <v>#N/A</v>
      </c>
      <c r="K4" t="str">
        <f t="shared" ref="K4:K39" si="2">I4</f>
        <v xml:space="preserve">FACT </v>
      </c>
      <c r="L4" t="str">
        <f t="shared" ref="L4:L39" si="3">K4</f>
        <v xml:space="preserve">FACT </v>
      </c>
      <c r="M4" t="str">
        <f t="shared" ref="M4:M39" si="4">L4&amp;" J. PASCUAL Y FAMILIA SPA"</f>
        <v>FACT  J. PASCUAL Y FAMILIA SPA</v>
      </c>
      <c r="P4" s="16"/>
      <c r="Q4" s="9"/>
      <c r="R4" s="11"/>
    </row>
    <row r="5" spans="1:18" x14ac:dyDescent="0.25">
      <c r="A5">
        <v>71068862</v>
      </c>
      <c r="B5" t="s">
        <v>13</v>
      </c>
      <c r="C5" t="e">
        <f>VLOOKUP(P5,[1]!Tabla1[#All],7,FALSE)</f>
        <v>#N/A</v>
      </c>
      <c r="D5" t="s">
        <v>13</v>
      </c>
      <c r="E5" t="e">
        <f>VLOOKUP(P5,[1]!Tabla1[#All],8,FALSE)</f>
        <v>#N/A</v>
      </c>
      <c r="F5" t="e">
        <f>VLOOKUP(P5,[1]!Tabla1[#All],5,FALSE)</f>
        <v>#N/A</v>
      </c>
      <c r="G5" t="e">
        <f>VLOOKUP(P5,[1]!Tabla1[#All],2,FALSE)</f>
        <v>#N/A</v>
      </c>
      <c r="H5" s="7">
        <f t="shared" si="0"/>
        <v>0</v>
      </c>
      <c r="I5" t="str">
        <f t="shared" si="1"/>
        <v xml:space="preserve">FACT </v>
      </c>
      <c r="J5" s="5" t="e">
        <f>VLOOKUP(P5,[1]!Tabla1[#All],9,FALSE)</f>
        <v>#N/A</v>
      </c>
      <c r="K5" t="str">
        <f t="shared" si="2"/>
        <v xml:space="preserve">FACT </v>
      </c>
      <c r="L5" t="str">
        <f t="shared" si="3"/>
        <v xml:space="preserve">FACT </v>
      </c>
      <c r="M5" t="str">
        <f t="shared" si="4"/>
        <v>FACT  J. PASCUAL Y FAMILIA SPA</v>
      </c>
      <c r="P5" s="15"/>
      <c r="Q5" s="9"/>
      <c r="R5" s="11"/>
    </row>
    <row r="6" spans="1:18" x14ac:dyDescent="0.25">
      <c r="A6">
        <v>71068862</v>
      </c>
      <c r="B6" t="s">
        <v>13</v>
      </c>
      <c r="C6" t="e">
        <f>VLOOKUP(P6,[1]!Tabla1[#All],7,FALSE)</f>
        <v>#N/A</v>
      </c>
      <c r="D6" t="s">
        <v>13</v>
      </c>
      <c r="E6" t="e">
        <f>VLOOKUP(P6,[1]!Tabla1[#All],8,FALSE)</f>
        <v>#N/A</v>
      </c>
      <c r="F6" t="e">
        <f>VLOOKUP(P6,[1]!Tabla1[#All],5,FALSE)</f>
        <v>#N/A</v>
      </c>
      <c r="G6" t="e">
        <f>VLOOKUP(P6,[1]!Tabla1[#All],2,FALSE)</f>
        <v>#N/A</v>
      </c>
      <c r="H6" s="7">
        <f t="shared" si="0"/>
        <v>0</v>
      </c>
      <c r="I6" t="str">
        <f t="shared" si="1"/>
        <v xml:space="preserve">FACT </v>
      </c>
      <c r="J6" s="5" t="e">
        <f>VLOOKUP(P6,[1]!Tabla1[#All],9,FALSE)</f>
        <v>#N/A</v>
      </c>
      <c r="K6" t="str">
        <f t="shared" si="2"/>
        <v xml:space="preserve">FACT </v>
      </c>
      <c r="L6" t="str">
        <f t="shared" si="3"/>
        <v xml:space="preserve">FACT </v>
      </c>
      <c r="M6" t="str">
        <f t="shared" si="4"/>
        <v>FACT  J. PASCUAL Y FAMILIA SPA</v>
      </c>
      <c r="P6" s="14"/>
      <c r="Q6" s="9"/>
      <c r="R6" s="11"/>
    </row>
    <row r="7" spans="1:18" x14ac:dyDescent="0.25">
      <c r="A7">
        <v>71068862</v>
      </c>
      <c r="B7" t="s">
        <v>13</v>
      </c>
      <c r="C7" t="e">
        <f>VLOOKUP(P7,[1]!Tabla1[#All],7,FALSE)</f>
        <v>#N/A</v>
      </c>
      <c r="D7" t="s">
        <v>13</v>
      </c>
      <c r="E7" t="e">
        <f>VLOOKUP(P7,[1]!Tabla1[#All],8,FALSE)</f>
        <v>#N/A</v>
      </c>
      <c r="F7" t="e">
        <f>VLOOKUP(P7,[1]!Tabla1[#All],5,FALSE)</f>
        <v>#N/A</v>
      </c>
      <c r="G7" t="e">
        <f>VLOOKUP(P7,[1]!Tabla1[#All],2,FALSE)</f>
        <v>#N/A</v>
      </c>
      <c r="H7" s="7">
        <f t="shared" si="0"/>
        <v>0</v>
      </c>
      <c r="I7" t="str">
        <f t="shared" si="1"/>
        <v xml:space="preserve">FACT </v>
      </c>
      <c r="J7" s="5" t="e">
        <f>VLOOKUP(P7,[1]!Tabla1[#All],9,FALSE)</f>
        <v>#N/A</v>
      </c>
      <c r="K7" t="str">
        <f t="shared" si="2"/>
        <v xml:space="preserve">FACT </v>
      </c>
      <c r="L7" t="str">
        <f t="shared" si="3"/>
        <v xml:space="preserve">FACT </v>
      </c>
      <c r="M7" t="str">
        <f t="shared" si="4"/>
        <v>FACT  J. PASCUAL Y FAMILIA SPA</v>
      </c>
      <c r="P7" s="8"/>
      <c r="Q7" s="9"/>
      <c r="R7" s="13"/>
    </row>
    <row r="8" spans="1:18" x14ac:dyDescent="0.25">
      <c r="A8">
        <v>71068862</v>
      </c>
      <c r="B8" t="s">
        <v>13</v>
      </c>
      <c r="C8" t="e">
        <f>VLOOKUP(P8,[1]!Tabla1[#All],7,FALSE)</f>
        <v>#N/A</v>
      </c>
      <c r="D8" t="s">
        <v>13</v>
      </c>
      <c r="E8" t="e">
        <f>VLOOKUP(P8,[1]!Tabla1[#All],8,FALSE)</f>
        <v>#N/A</v>
      </c>
      <c r="F8" t="e">
        <f>VLOOKUP(P8,[1]!Tabla1[#All],5,FALSE)</f>
        <v>#N/A</v>
      </c>
      <c r="G8" t="e">
        <f>VLOOKUP(P8,[1]!Tabla1[#All],2,FALSE)</f>
        <v>#N/A</v>
      </c>
      <c r="H8" s="7">
        <f t="shared" si="0"/>
        <v>0</v>
      </c>
      <c r="I8" t="str">
        <f t="shared" si="1"/>
        <v xml:space="preserve">FACT </v>
      </c>
      <c r="J8" s="5" t="e">
        <f>VLOOKUP(P8,[1]!Tabla1[#All],9,FALSE)</f>
        <v>#N/A</v>
      </c>
      <c r="K8" t="str">
        <f t="shared" si="2"/>
        <v xml:space="preserve">FACT </v>
      </c>
      <c r="L8" t="str">
        <f t="shared" si="3"/>
        <v xml:space="preserve">FACT </v>
      </c>
      <c r="M8" t="str">
        <f t="shared" si="4"/>
        <v>FACT  J. PASCUAL Y FAMILIA SPA</v>
      </c>
      <c r="P8" s="8"/>
      <c r="Q8" s="9"/>
      <c r="R8" s="13"/>
    </row>
    <row r="9" spans="1:18" x14ac:dyDescent="0.25">
      <c r="A9">
        <v>71068862</v>
      </c>
      <c r="B9" t="s">
        <v>13</v>
      </c>
      <c r="C9" t="e">
        <f>VLOOKUP(P9,[1]!Tabla1[#All],7,FALSE)</f>
        <v>#N/A</v>
      </c>
      <c r="D9" t="s">
        <v>13</v>
      </c>
      <c r="E9" t="e">
        <f>VLOOKUP(P9,[1]!Tabla1[#All],8,FALSE)</f>
        <v>#N/A</v>
      </c>
      <c r="F9" t="e">
        <f>VLOOKUP(P9,[1]!Tabla1[#All],5,FALSE)</f>
        <v>#N/A</v>
      </c>
      <c r="G9" t="e">
        <f>VLOOKUP(P9,[1]!Tabla1[#All],2,FALSE)</f>
        <v>#N/A</v>
      </c>
      <c r="H9" s="7">
        <f t="shared" si="0"/>
        <v>0</v>
      </c>
      <c r="I9" t="str">
        <f t="shared" si="1"/>
        <v xml:space="preserve">FACT </v>
      </c>
      <c r="J9" s="5" t="e">
        <f>VLOOKUP(P9,[1]!Tabla1[#All],9,FALSE)</f>
        <v>#N/A</v>
      </c>
      <c r="K9" t="str">
        <f t="shared" si="2"/>
        <v xml:space="preserve">FACT </v>
      </c>
      <c r="L9" t="str">
        <f t="shared" si="3"/>
        <v xml:space="preserve">FACT </v>
      </c>
      <c r="M9" t="str">
        <f t="shared" si="4"/>
        <v>FACT  J. PASCUAL Y FAMILIA SPA</v>
      </c>
      <c r="P9" s="8"/>
      <c r="Q9" s="9"/>
      <c r="R9" s="13"/>
    </row>
    <row r="10" spans="1:18" x14ac:dyDescent="0.25">
      <c r="A10">
        <v>71068862</v>
      </c>
      <c r="B10" t="s">
        <v>13</v>
      </c>
      <c r="C10" t="e">
        <f>VLOOKUP(P10,[1]!Tabla1[#All],7,FALSE)</f>
        <v>#N/A</v>
      </c>
      <c r="D10" t="s">
        <v>13</v>
      </c>
      <c r="E10" t="e">
        <f>VLOOKUP(P10,[1]!Tabla1[#All],8,FALSE)</f>
        <v>#N/A</v>
      </c>
      <c r="F10" t="e">
        <f>VLOOKUP(P10,[1]!Tabla1[#All],5,FALSE)</f>
        <v>#N/A</v>
      </c>
      <c r="G10" t="e">
        <f>VLOOKUP(P10,[1]!Tabla1[#All],2,FALSE)</f>
        <v>#N/A</v>
      </c>
      <c r="H10" s="7">
        <f t="shared" si="0"/>
        <v>0</v>
      </c>
      <c r="I10" t="str">
        <f t="shared" si="1"/>
        <v xml:space="preserve">FACT </v>
      </c>
      <c r="J10" s="5" t="e">
        <f>VLOOKUP(P10,[1]!Tabla1[#All],9,FALSE)</f>
        <v>#N/A</v>
      </c>
      <c r="K10" t="str">
        <f t="shared" si="2"/>
        <v xml:space="preserve">FACT </v>
      </c>
      <c r="L10" t="str">
        <f t="shared" si="3"/>
        <v xml:space="preserve">FACT </v>
      </c>
      <c r="M10" t="str">
        <f t="shared" si="4"/>
        <v>FACT  J. PASCUAL Y FAMILIA SPA</v>
      </c>
      <c r="P10" s="8"/>
      <c r="Q10" s="9"/>
      <c r="R10" s="13"/>
    </row>
    <row r="11" spans="1:18" x14ac:dyDescent="0.25">
      <c r="A11">
        <v>71068862</v>
      </c>
      <c r="B11" t="s">
        <v>13</v>
      </c>
      <c r="C11" t="e">
        <f>VLOOKUP(P11,[1]!Tabla1[#All],7,FALSE)</f>
        <v>#N/A</v>
      </c>
      <c r="D11" t="s">
        <v>13</v>
      </c>
      <c r="E11" t="e">
        <f>VLOOKUP(P11,[1]!Tabla1[#All],8,FALSE)</f>
        <v>#N/A</v>
      </c>
      <c r="F11" t="e">
        <f>VLOOKUP(P11,[1]!Tabla1[#All],5,FALSE)</f>
        <v>#N/A</v>
      </c>
      <c r="G11" t="e">
        <f>VLOOKUP(P11,[1]!Tabla1[#All],2,FALSE)</f>
        <v>#N/A</v>
      </c>
      <c r="H11" s="7">
        <f t="shared" si="0"/>
        <v>0</v>
      </c>
      <c r="I11" t="str">
        <f t="shared" si="1"/>
        <v xml:space="preserve">FACT </v>
      </c>
      <c r="J11" s="5" t="e">
        <f>VLOOKUP(P11,[1]!Tabla1[#All],9,FALSE)</f>
        <v>#N/A</v>
      </c>
      <c r="K11" t="str">
        <f t="shared" si="2"/>
        <v xml:space="preserve">FACT </v>
      </c>
      <c r="L11" t="str">
        <f t="shared" si="3"/>
        <v xml:space="preserve">FACT </v>
      </c>
      <c r="M11" t="str">
        <f t="shared" si="4"/>
        <v>FACT  J. PASCUAL Y FAMILIA SPA</v>
      </c>
      <c r="P11" s="8"/>
      <c r="Q11" s="9"/>
      <c r="R11" s="13"/>
    </row>
    <row r="12" spans="1:18" x14ac:dyDescent="0.25">
      <c r="A12">
        <v>71068862</v>
      </c>
      <c r="B12" t="s">
        <v>13</v>
      </c>
      <c r="C12" t="e">
        <f>VLOOKUP(P12,[1]!Tabla1[#All],7,FALSE)</f>
        <v>#N/A</v>
      </c>
      <c r="D12" t="s">
        <v>13</v>
      </c>
      <c r="E12" t="e">
        <f>VLOOKUP(P12,[1]!Tabla1[#All],8,FALSE)</f>
        <v>#N/A</v>
      </c>
      <c r="F12" t="e">
        <f>VLOOKUP(P12,[1]!Tabla1[#All],5,FALSE)</f>
        <v>#N/A</v>
      </c>
      <c r="G12" t="e">
        <f>VLOOKUP(P12,[1]!Tabla1[#All],2,FALSE)</f>
        <v>#N/A</v>
      </c>
      <c r="H12" s="7">
        <f t="shared" si="0"/>
        <v>0</v>
      </c>
      <c r="I12" t="str">
        <f t="shared" si="1"/>
        <v xml:space="preserve">FACT </v>
      </c>
      <c r="J12" s="5" t="e">
        <f>VLOOKUP(P12,[1]!Tabla1[#All],9,FALSE)</f>
        <v>#N/A</v>
      </c>
      <c r="K12" t="str">
        <f t="shared" si="2"/>
        <v xml:space="preserve">FACT </v>
      </c>
      <c r="L12" t="str">
        <f t="shared" si="3"/>
        <v xml:space="preserve">FACT </v>
      </c>
      <c r="M12" t="str">
        <f t="shared" si="4"/>
        <v>FACT  J. PASCUAL Y FAMILIA SPA</v>
      </c>
      <c r="P12" s="8"/>
      <c r="Q12" s="9"/>
      <c r="R12" s="10"/>
    </row>
    <row r="13" spans="1:18" x14ac:dyDescent="0.25">
      <c r="A13">
        <v>71068862</v>
      </c>
      <c r="B13" t="s">
        <v>13</v>
      </c>
      <c r="C13" t="e">
        <f>VLOOKUP(P13,[1]!Tabla1[#All],7,FALSE)</f>
        <v>#N/A</v>
      </c>
      <c r="D13" t="s">
        <v>13</v>
      </c>
      <c r="E13" t="e">
        <f>VLOOKUP(P13,[1]!Tabla1[#All],8,FALSE)</f>
        <v>#N/A</v>
      </c>
      <c r="F13" t="e">
        <f>VLOOKUP(P13,[1]!Tabla1[#All],5,FALSE)</f>
        <v>#N/A</v>
      </c>
      <c r="G13" t="e">
        <f>VLOOKUP(P13,[1]!Tabla1[#All],2,FALSE)</f>
        <v>#N/A</v>
      </c>
      <c r="H13" s="7">
        <f t="shared" si="0"/>
        <v>0</v>
      </c>
      <c r="I13" t="str">
        <f t="shared" si="1"/>
        <v xml:space="preserve">FACT </v>
      </c>
      <c r="J13" s="5" t="e">
        <f>VLOOKUP(P13,[1]!Tabla1[#All],9,FALSE)</f>
        <v>#N/A</v>
      </c>
      <c r="K13" t="str">
        <f t="shared" si="2"/>
        <v xml:space="preserve">FACT </v>
      </c>
      <c r="L13" t="str">
        <f t="shared" si="3"/>
        <v xml:space="preserve">FACT </v>
      </c>
      <c r="M13" t="str">
        <f t="shared" si="4"/>
        <v>FACT  J. PASCUAL Y FAMILIA SPA</v>
      </c>
      <c r="P13" s="8"/>
      <c r="Q13" s="9"/>
      <c r="R13" s="11"/>
    </row>
    <row r="14" spans="1:18" x14ac:dyDescent="0.25">
      <c r="A14">
        <v>71068862</v>
      </c>
      <c r="B14" t="s">
        <v>13</v>
      </c>
      <c r="C14" t="e">
        <f>VLOOKUP(P14,[1]!Tabla1[#All],7,FALSE)</f>
        <v>#N/A</v>
      </c>
      <c r="D14" t="s">
        <v>13</v>
      </c>
      <c r="E14" t="e">
        <f>VLOOKUP(P14,[1]!Tabla1[#All],8,FALSE)</f>
        <v>#N/A</v>
      </c>
      <c r="F14" t="e">
        <f>VLOOKUP(P14,[1]!Tabla1[#All],5,FALSE)</f>
        <v>#N/A</v>
      </c>
      <c r="G14" t="e">
        <f>VLOOKUP(P14,[1]!Tabla1[#All],2,FALSE)</f>
        <v>#N/A</v>
      </c>
      <c r="H14" s="7">
        <f t="shared" si="0"/>
        <v>0</v>
      </c>
      <c r="I14" t="str">
        <f t="shared" si="1"/>
        <v xml:space="preserve">FACT </v>
      </c>
      <c r="J14" s="5" t="e">
        <f>VLOOKUP(P14,[1]!Tabla1[#All],9,FALSE)</f>
        <v>#N/A</v>
      </c>
      <c r="K14" t="str">
        <f t="shared" si="2"/>
        <v xml:space="preserve">FACT </v>
      </c>
      <c r="L14" t="str">
        <f t="shared" si="3"/>
        <v xml:space="preserve">FACT </v>
      </c>
      <c r="M14" t="str">
        <f t="shared" si="4"/>
        <v>FACT  J. PASCUAL Y FAMILIA SPA</v>
      </c>
      <c r="P14" s="8"/>
      <c r="Q14" s="9"/>
      <c r="R14" s="13"/>
    </row>
    <row r="15" spans="1:18" x14ac:dyDescent="0.25">
      <c r="A15">
        <v>71068862</v>
      </c>
      <c r="B15" t="s">
        <v>13</v>
      </c>
      <c r="C15" t="e">
        <f>VLOOKUP(P15,[1]!Tabla1[#All],7,FALSE)</f>
        <v>#N/A</v>
      </c>
      <c r="D15" t="s">
        <v>13</v>
      </c>
      <c r="E15" t="e">
        <f>VLOOKUP(P15,[1]!Tabla1[#All],8,FALSE)</f>
        <v>#N/A</v>
      </c>
      <c r="F15" t="e">
        <f>VLOOKUP(P15,[1]!Tabla1[#All],5,FALSE)</f>
        <v>#N/A</v>
      </c>
      <c r="G15" t="e">
        <f>VLOOKUP(P15,[1]!Tabla1[#All],2,FALSE)</f>
        <v>#N/A</v>
      </c>
      <c r="H15" s="7">
        <f t="shared" si="0"/>
        <v>0</v>
      </c>
      <c r="I15" t="str">
        <f t="shared" si="1"/>
        <v xml:space="preserve">FACT </v>
      </c>
      <c r="J15" s="5" t="e">
        <f>VLOOKUP(P15,[1]!Tabla1[#All],9,FALSE)</f>
        <v>#N/A</v>
      </c>
      <c r="K15" t="str">
        <f t="shared" si="2"/>
        <v xml:space="preserve">FACT </v>
      </c>
      <c r="L15" t="str">
        <f t="shared" si="3"/>
        <v xml:space="preserve">FACT </v>
      </c>
      <c r="M15" t="str">
        <f t="shared" si="4"/>
        <v>FACT  J. PASCUAL Y FAMILIA SPA</v>
      </c>
      <c r="P15" s="8"/>
      <c r="Q15" s="9"/>
      <c r="R15" s="10"/>
    </row>
    <row r="16" spans="1:18" x14ac:dyDescent="0.25">
      <c r="A16">
        <v>71068862</v>
      </c>
      <c r="B16" t="s">
        <v>13</v>
      </c>
      <c r="C16" t="e">
        <f>VLOOKUP(P16,[1]!Tabla1[#All],7,FALSE)</f>
        <v>#N/A</v>
      </c>
      <c r="D16" t="s">
        <v>13</v>
      </c>
      <c r="E16" t="e">
        <f>VLOOKUP(P16,[1]!Tabla1[#All],8,FALSE)</f>
        <v>#N/A</v>
      </c>
      <c r="F16" t="e">
        <f>VLOOKUP(P16,[1]!Tabla1[#All],5,FALSE)</f>
        <v>#N/A</v>
      </c>
      <c r="G16" t="e">
        <f>VLOOKUP(P16,[1]!Tabla1[#All],2,FALSE)</f>
        <v>#N/A</v>
      </c>
      <c r="H16" s="7">
        <f t="shared" si="0"/>
        <v>0</v>
      </c>
      <c r="I16" t="str">
        <f t="shared" si="1"/>
        <v xml:space="preserve">FACT </v>
      </c>
      <c r="J16" s="5" t="e">
        <f>VLOOKUP(P16,[1]!Tabla1[#All],9,FALSE)</f>
        <v>#N/A</v>
      </c>
      <c r="K16" t="str">
        <f t="shared" si="2"/>
        <v xml:space="preserve">FACT </v>
      </c>
      <c r="L16" t="str">
        <f t="shared" si="3"/>
        <v xml:space="preserve">FACT </v>
      </c>
      <c r="M16" t="str">
        <f t="shared" si="4"/>
        <v>FACT  J. PASCUAL Y FAMILIA SPA</v>
      </c>
      <c r="P16" s="8"/>
      <c r="Q16" s="9"/>
      <c r="R16" s="10"/>
    </row>
    <row r="17" spans="1:18" x14ac:dyDescent="0.25">
      <c r="A17">
        <v>71068862</v>
      </c>
      <c r="B17" t="s">
        <v>13</v>
      </c>
      <c r="C17" t="e">
        <f>VLOOKUP(P17,[1]!Tabla1[#All],7,FALSE)</f>
        <v>#N/A</v>
      </c>
      <c r="D17" t="s">
        <v>13</v>
      </c>
      <c r="E17" t="e">
        <f>VLOOKUP(P17,[1]!Tabla1[#All],8,FALSE)</f>
        <v>#N/A</v>
      </c>
      <c r="F17" t="e">
        <f>VLOOKUP(P17,[1]!Tabla1[#All],5,FALSE)</f>
        <v>#N/A</v>
      </c>
      <c r="G17" t="e">
        <f>VLOOKUP(P17,[1]!Tabla1[#All],2,FALSE)</f>
        <v>#N/A</v>
      </c>
      <c r="H17" s="7">
        <f t="shared" si="0"/>
        <v>0</v>
      </c>
      <c r="I17" t="str">
        <f t="shared" si="1"/>
        <v xml:space="preserve">FACT </v>
      </c>
      <c r="J17" s="5" t="e">
        <f>VLOOKUP(P17,[1]!Tabla1[#All],9,FALSE)</f>
        <v>#N/A</v>
      </c>
      <c r="K17" t="str">
        <f t="shared" si="2"/>
        <v xml:space="preserve">FACT </v>
      </c>
      <c r="L17" t="str">
        <f t="shared" si="3"/>
        <v xml:space="preserve">FACT </v>
      </c>
      <c r="M17" t="str">
        <f t="shared" si="4"/>
        <v>FACT  J. PASCUAL Y FAMILIA SPA</v>
      </c>
      <c r="P17" s="8"/>
      <c r="Q17" s="9"/>
      <c r="R17" s="10"/>
    </row>
    <row r="18" spans="1:18" x14ac:dyDescent="0.25">
      <c r="A18">
        <v>71068862</v>
      </c>
      <c r="B18" t="s">
        <v>13</v>
      </c>
      <c r="C18" t="e">
        <f>VLOOKUP(P18,[1]!Tabla1[#All],7,FALSE)</f>
        <v>#N/A</v>
      </c>
      <c r="D18" t="s">
        <v>13</v>
      </c>
      <c r="E18" t="e">
        <f>VLOOKUP(P18,[1]!Tabla1[#All],8,FALSE)</f>
        <v>#N/A</v>
      </c>
      <c r="F18" t="e">
        <f>VLOOKUP(P18,[1]!Tabla1[#All],5,FALSE)</f>
        <v>#N/A</v>
      </c>
      <c r="G18" t="e">
        <f>VLOOKUP(P18,[1]!Tabla1[#All],2,FALSE)</f>
        <v>#N/A</v>
      </c>
      <c r="H18" s="7">
        <f t="shared" si="0"/>
        <v>0</v>
      </c>
      <c r="I18" t="str">
        <f t="shared" si="1"/>
        <v xml:space="preserve">FACT </v>
      </c>
      <c r="J18" s="5" t="e">
        <f>VLOOKUP(P18,[1]!Tabla1[#All],9,FALSE)</f>
        <v>#N/A</v>
      </c>
      <c r="K18" t="str">
        <f t="shared" si="2"/>
        <v xml:space="preserve">FACT </v>
      </c>
      <c r="L18" t="str">
        <f t="shared" si="3"/>
        <v xml:space="preserve">FACT </v>
      </c>
      <c r="M18" t="str">
        <f t="shared" si="4"/>
        <v>FACT  J. PASCUAL Y FAMILIA SPA</v>
      </c>
      <c r="P18" s="8"/>
      <c r="Q18" s="9"/>
      <c r="R18" s="12"/>
    </row>
    <row r="19" spans="1:18" x14ac:dyDescent="0.25">
      <c r="A19">
        <v>71068862</v>
      </c>
      <c r="B19" t="s">
        <v>13</v>
      </c>
      <c r="C19" t="e">
        <f>VLOOKUP(P19,[1]!Tabla1[#All],7,FALSE)</f>
        <v>#N/A</v>
      </c>
      <c r="D19" t="s">
        <v>13</v>
      </c>
      <c r="E19" t="e">
        <f>VLOOKUP(P19,[1]!Tabla1[#All],8,FALSE)</f>
        <v>#N/A</v>
      </c>
      <c r="F19" t="e">
        <f>VLOOKUP(P19,[1]!Tabla1[#All],5,FALSE)</f>
        <v>#N/A</v>
      </c>
      <c r="G19" t="e">
        <f>VLOOKUP(P19,[1]!Tabla1[#All],2,FALSE)</f>
        <v>#N/A</v>
      </c>
      <c r="H19" s="7">
        <f t="shared" si="0"/>
        <v>0</v>
      </c>
      <c r="I19" t="str">
        <f t="shared" si="1"/>
        <v xml:space="preserve">FACT </v>
      </c>
      <c r="J19" s="5" t="e">
        <f>VLOOKUP(P19,[1]!Tabla1[#All],9,FALSE)</f>
        <v>#N/A</v>
      </c>
      <c r="K19" t="str">
        <f t="shared" si="2"/>
        <v xml:space="preserve">FACT </v>
      </c>
      <c r="L19" t="str">
        <f t="shared" si="3"/>
        <v xml:space="preserve">FACT </v>
      </c>
      <c r="M19" t="str">
        <f t="shared" si="4"/>
        <v>FACT  J. PASCUAL Y FAMILIA SPA</v>
      </c>
      <c r="P19" s="8"/>
      <c r="Q19" s="9"/>
      <c r="R19" s="10"/>
    </row>
    <row r="20" spans="1:18" x14ac:dyDescent="0.25">
      <c r="A20">
        <v>71068862</v>
      </c>
      <c r="B20" t="s">
        <v>13</v>
      </c>
      <c r="C20" t="e">
        <f>VLOOKUP(P20,[1]!Tabla1[#All],7,FALSE)</f>
        <v>#N/A</v>
      </c>
      <c r="D20" t="s">
        <v>13</v>
      </c>
      <c r="E20" t="e">
        <f>VLOOKUP(P20,[1]!Tabla1[#All],8,FALSE)</f>
        <v>#N/A</v>
      </c>
      <c r="F20" t="e">
        <f>VLOOKUP(P20,[1]!Tabla1[#All],5,FALSE)</f>
        <v>#N/A</v>
      </c>
      <c r="G20" t="e">
        <f>VLOOKUP(P20,[1]!Tabla1[#All],2,FALSE)</f>
        <v>#N/A</v>
      </c>
      <c r="H20" s="7">
        <f t="shared" si="0"/>
        <v>0</v>
      </c>
      <c r="I20" t="str">
        <f t="shared" si="1"/>
        <v xml:space="preserve">FACT </v>
      </c>
      <c r="J20" s="5" t="e">
        <f>VLOOKUP(P20,[1]!Tabla1[#All],9,FALSE)</f>
        <v>#N/A</v>
      </c>
      <c r="K20" t="str">
        <f t="shared" si="2"/>
        <v xml:space="preserve">FACT </v>
      </c>
      <c r="L20" t="str">
        <f t="shared" si="3"/>
        <v xml:space="preserve">FACT </v>
      </c>
      <c r="M20" t="str">
        <f t="shared" si="4"/>
        <v>FACT  J. PASCUAL Y FAMILIA SPA</v>
      </c>
    </row>
    <row r="21" spans="1:18" x14ac:dyDescent="0.25">
      <c r="A21">
        <v>71068862</v>
      </c>
      <c r="B21" t="s">
        <v>13</v>
      </c>
      <c r="C21" t="e">
        <f>VLOOKUP(P21,[1]!Tabla1[#All],7,FALSE)</f>
        <v>#N/A</v>
      </c>
      <c r="D21" t="s">
        <v>13</v>
      </c>
      <c r="E21" t="e">
        <f>VLOOKUP(P21,[1]!Tabla1[#All],8,FALSE)</f>
        <v>#N/A</v>
      </c>
      <c r="F21" t="e">
        <f>VLOOKUP(P21,[1]!Tabla1[#All],5,FALSE)</f>
        <v>#N/A</v>
      </c>
      <c r="G21" t="e">
        <f>VLOOKUP(P21,[1]!Tabla1[#All],2,FALSE)</f>
        <v>#N/A</v>
      </c>
      <c r="H21" s="7">
        <f t="shared" si="0"/>
        <v>0</v>
      </c>
      <c r="I21" t="str">
        <f t="shared" si="1"/>
        <v xml:space="preserve">FACT </v>
      </c>
      <c r="J21" s="5" t="e">
        <f>VLOOKUP(P21,[1]!Tabla1[#All],9,FALSE)</f>
        <v>#N/A</v>
      </c>
      <c r="K21" t="str">
        <f t="shared" si="2"/>
        <v xml:space="preserve">FACT </v>
      </c>
      <c r="L21" t="str">
        <f t="shared" si="3"/>
        <v xml:space="preserve">FACT </v>
      </c>
      <c r="M21" t="str">
        <f t="shared" si="4"/>
        <v>FACT  J. PASCUAL Y FAMILIA SPA</v>
      </c>
    </row>
    <row r="22" spans="1:18" x14ac:dyDescent="0.25">
      <c r="A22">
        <v>71068862</v>
      </c>
      <c r="B22" t="s">
        <v>13</v>
      </c>
      <c r="C22" t="e">
        <f>VLOOKUP(P22,[1]!Tabla1[#All],7,FALSE)</f>
        <v>#N/A</v>
      </c>
      <c r="D22" t="s">
        <v>13</v>
      </c>
      <c r="E22" t="e">
        <f>VLOOKUP(P22,[1]!Tabla1[#All],8,FALSE)</f>
        <v>#N/A</v>
      </c>
      <c r="F22" t="e">
        <f>VLOOKUP(P22,[1]!Tabla1[#All],5,FALSE)</f>
        <v>#N/A</v>
      </c>
      <c r="G22" t="e">
        <f>VLOOKUP(P22,[1]!Tabla1[#All],2,FALSE)</f>
        <v>#N/A</v>
      </c>
      <c r="H22" s="7">
        <f t="shared" si="0"/>
        <v>0</v>
      </c>
      <c r="I22" t="str">
        <f t="shared" si="1"/>
        <v xml:space="preserve">FACT </v>
      </c>
      <c r="J22" s="5" t="e">
        <f>VLOOKUP(P22,[1]!Tabla1[#All],9,FALSE)</f>
        <v>#N/A</v>
      </c>
      <c r="K22" t="str">
        <f t="shared" si="2"/>
        <v xml:space="preserve">FACT </v>
      </c>
      <c r="L22" t="str">
        <f t="shared" si="3"/>
        <v xml:space="preserve">FACT </v>
      </c>
      <c r="M22" t="str">
        <f t="shared" si="4"/>
        <v>FACT  J. PASCUAL Y FAMILIA SPA</v>
      </c>
    </row>
    <row r="23" spans="1:18" x14ac:dyDescent="0.25">
      <c r="A23">
        <v>71068862</v>
      </c>
      <c r="B23" t="s">
        <v>13</v>
      </c>
      <c r="C23" t="e">
        <f>VLOOKUP(P23,[1]!Tabla1[#All],7,FALSE)</f>
        <v>#N/A</v>
      </c>
      <c r="D23" t="s">
        <v>13</v>
      </c>
      <c r="E23" t="e">
        <f>VLOOKUP(P23,[1]!Tabla1[#All],8,FALSE)</f>
        <v>#N/A</v>
      </c>
      <c r="F23" t="e">
        <f>VLOOKUP(P23,[1]!Tabla1[#All],5,FALSE)</f>
        <v>#N/A</v>
      </c>
      <c r="G23" t="e">
        <f>VLOOKUP(P23,[1]!Tabla1[#All],2,FALSE)</f>
        <v>#N/A</v>
      </c>
      <c r="H23" s="7">
        <f t="shared" si="0"/>
        <v>0</v>
      </c>
      <c r="I23" t="str">
        <f t="shared" si="1"/>
        <v xml:space="preserve">FACT </v>
      </c>
      <c r="J23" s="5" t="e">
        <f>VLOOKUP(P23,[1]!Tabla1[#All],9,FALSE)</f>
        <v>#N/A</v>
      </c>
      <c r="K23" t="str">
        <f t="shared" si="2"/>
        <v xml:space="preserve">FACT </v>
      </c>
      <c r="L23" t="str">
        <f t="shared" si="3"/>
        <v xml:space="preserve">FACT </v>
      </c>
      <c r="M23" t="str">
        <f t="shared" si="4"/>
        <v>FACT  J. PASCUAL Y FAMILIA SPA</v>
      </c>
    </row>
    <row r="24" spans="1:18" x14ac:dyDescent="0.25">
      <c r="A24">
        <v>71068862</v>
      </c>
      <c r="B24" t="s">
        <v>13</v>
      </c>
      <c r="C24" t="e">
        <f>VLOOKUP(P24,[1]!Tabla1[#All],7,FALSE)</f>
        <v>#N/A</v>
      </c>
      <c r="D24" t="s">
        <v>13</v>
      </c>
      <c r="E24" t="e">
        <f>VLOOKUP(P24,[1]!Tabla1[#All],8,FALSE)</f>
        <v>#N/A</v>
      </c>
      <c r="F24" t="e">
        <f>VLOOKUP(P24,[1]!Tabla1[#All],5,FALSE)</f>
        <v>#N/A</v>
      </c>
      <c r="G24" t="e">
        <f>VLOOKUP(P24,[1]!Tabla1[#All],2,FALSE)</f>
        <v>#N/A</v>
      </c>
      <c r="H24" s="7">
        <f t="shared" si="0"/>
        <v>0</v>
      </c>
      <c r="I24" t="str">
        <f t="shared" si="1"/>
        <v xml:space="preserve">FACT </v>
      </c>
      <c r="J24" s="5" t="e">
        <f>VLOOKUP(P24,[1]!Tabla1[#All],9,FALSE)</f>
        <v>#N/A</v>
      </c>
      <c r="K24" t="str">
        <f t="shared" si="2"/>
        <v xml:space="preserve">FACT </v>
      </c>
      <c r="L24" t="str">
        <f t="shared" si="3"/>
        <v xml:space="preserve">FACT </v>
      </c>
      <c r="M24" t="str">
        <f t="shared" si="4"/>
        <v>FACT  J. PASCUAL Y FAMILIA SPA</v>
      </c>
    </row>
    <row r="25" spans="1:18" x14ac:dyDescent="0.25">
      <c r="A25">
        <v>71068862</v>
      </c>
      <c r="B25" t="s">
        <v>13</v>
      </c>
      <c r="C25" t="e">
        <f>VLOOKUP(P25,[1]!Tabla1[#All],7,FALSE)</f>
        <v>#N/A</v>
      </c>
      <c r="D25" t="s">
        <v>13</v>
      </c>
      <c r="E25" t="e">
        <f>VLOOKUP(P25,[1]!Tabla1[#All],8,FALSE)</f>
        <v>#N/A</v>
      </c>
      <c r="F25" t="e">
        <f>VLOOKUP(P25,[1]!Tabla1[#All],5,FALSE)</f>
        <v>#N/A</v>
      </c>
      <c r="G25" t="e">
        <f>VLOOKUP(P25,[1]!Tabla1[#All],2,FALSE)</f>
        <v>#N/A</v>
      </c>
      <c r="H25" s="7">
        <f t="shared" si="0"/>
        <v>0</v>
      </c>
      <c r="I25" t="str">
        <f t="shared" si="1"/>
        <v xml:space="preserve">FACT </v>
      </c>
      <c r="J25" s="5" t="e">
        <f>VLOOKUP(P25,[1]!Tabla1[#All],9,FALSE)</f>
        <v>#N/A</v>
      </c>
      <c r="K25" t="str">
        <f t="shared" si="2"/>
        <v xml:space="preserve">FACT </v>
      </c>
      <c r="L25" t="str">
        <f t="shared" si="3"/>
        <v xml:space="preserve">FACT </v>
      </c>
      <c r="M25" t="str">
        <f t="shared" si="4"/>
        <v>FACT  J. PASCUAL Y FAMILIA SPA</v>
      </c>
    </row>
    <row r="26" spans="1:18" x14ac:dyDescent="0.25">
      <c r="A26">
        <v>71068862</v>
      </c>
      <c r="B26" t="s">
        <v>13</v>
      </c>
      <c r="C26" t="e">
        <f>VLOOKUP(P26,[1]!Tabla1[#All],7,FALSE)</f>
        <v>#N/A</v>
      </c>
      <c r="D26" t="s">
        <v>13</v>
      </c>
      <c r="E26" t="e">
        <f>VLOOKUP(P26,[1]!Tabla1[#All],8,FALSE)</f>
        <v>#N/A</v>
      </c>
      <c r="F26" t="e">
        <f>VLOOKUP(P26,[1]!Tabla1[#All],5,FALSE)</f>
        <v>#N/A</v>
      </c>
      <c r="G26" t="e">
        <f>VLOOKUP(P26,[1]!Tabla1[#All],2,FALSE)</f>
        <v>#N/A</v>
      </c>
      <c r="H26" s="7">
        <f t="shared" si="0"/>
        <v>0</v>
      </c>
      <c r="I26" t="str">
        <f t="shared" si="1"/>
        <v xml:space="preserve">FACT </v>
      </c>
      <c r="J26" s="5" t="e">
        <f>VLOOKUP(P26,[1]!Tabla1[#All],9,FALSE)</f>
        <v>#N/A</v>
      </c>
      <c r="K26" t="str">
        <f t="shared" si="2"/>
        <v xml:space="preserve">FACT </v>
      </c>
      <c r="L26" t="str">
        <f t="shared" si="3"/>
        <v xml:space="preserve">FACT </v>
      </c>
      <c r="M26" t="str">
        <f t="shared" si="4"/>
        <v>FACT  J. PASCUAL Y FAMILIA SPA</v>
      </c>
    </row>
    <row r="27" spans="1:18" x14ac:dyDescent="0.25">
      <c r="A27">
        <v>71068862</v>
      </c>
      <c r="B27" t="s">
        <v>13</v>
      </c>
      <c r="C27" t="e">
        <f>VLOOKUP(P27,[1]!Tabla1[#All],7,FALSE)</f>
        <v>#N/A</v>
      </c>
      <c r="D27" t="s">
        <v>13</v>
      </c>
      <c r="E27" t="e">
        <f>VLOOKUP(P27,[1]!Tabla1[#All],8,FALSE)</f>
        <v>#N/A</v>
      </c>
      <c r="F27" t="e">
        <f>VLOOKUP(P27,[1]!Tabla1[#All],5,FALSE)</f>
        <v>#N/A</v>
      </c>
      <c r="G27" t="e">
        <f>VLOOKUP(P27,[1]!Tabla1[#All],2,FALSE)</f>
        <v>#N/A</v>
      </c>
      <c r="H27" s="7">
        <f t="shared" si="0"/>
        <v>0</v>
      </c>
      <c r="I27" t="str">
        <f t="shared" si="1"/>
        <v xml:space="preserve">FACT </v>
      </c>
      <c r="J27" s="5" t="e">
        <f>VLOOKUP(P27,[1]!Tabla1[#All],9,FALSE)</f>
        <v>#N/A</v>
      </c>
      <c r="K27" t="str">
        <f t="shared" si="2"/>
        <v xml:space="preserve">FACT </v>
      </c>
      <c r="L27" t="str">
        <f t="shared" si="3"/>
        <v xml:space="preserve">FACT </v>
      </c>
      <c r="M27" t="str">
        <f t="shared" si="4"/>
        <v>FACT  J. PASCUAL Y FAMILIA SPA</v>
      </c>
    </row>
    <row r="28" spans="1:18" x14ac:dyDescent="0.25">
      <c r="A28">
        <v>71068862</v>
      </c>
      <c r="B28" t="s">
        <v>13</v>
      </c>
      <c r="C28" t="e">
        <f>VLOOKUP(P28,[1]!Tabla1[#All],7,FALSE)</f>
        <v>#N/A</v>
      </c>
      <c r="D28" t="s">
        <v>13</v>
      </c>
      <c r="E28" t="e">
        <f>VLOOKUP(P28,[1]!Tabla1[#All],8,FALSE)</f>
        <v>#N/A</v>
      </c>
      <c r="F28" t="e">
        <f>VLOOKUP(P28,[1]!Tabla1[#All],5,FALSE)</f>
        <v>#N/A</v>
      </c>
      <c r="G28" t="e">
        <f>VLOOKUP(P28,[1]!Tabla1[#All],2,FALSE)</f>
        <v>#N/A</v>
      </c>
      <c r="H28" s="7">
        <f t="shared" si="0"/>
        <v>0</v>
      </c>
      <c r="I28" t="str">
        <f t="shared" si="1"/>
        <v xml:space="preserve">FACT </v>
      </c>
      <c r="J28" s="5" t="e">
        <f>VLOOKUP(P28,[1]!Tabla1[#All],9,FALSE)</f>
        <v>#N/A</v>
      </c>
      <c r="K28" t="str">
        <f t="shared" si="2"/>
        <v xml:space="preserve">FACT </v>
      </c>
      <c r="L28" t="str">
        <f t="shared" si="3"/>
        <v xml:space="preserve">FACT </v>
      </c>
      <c r="M28" t="str">
        <f t="shared" si="4"/>
        <v>FACT  J. PASCUAL Y FAMILIA SPA</v>
      </c>
    </row>
    <row r="29" spans="1:18" x14ac:dyDescent="0.25">
      <c r="A29">
        <v>71068862</v>
      </c>
      <c r="B29" t="s">
        <v>13</v>
      </c>
      <c r="C29" t="e">
        <f>VLOOKUP(P29,[1]!Tabla1[#All],7,FALSE)</f>
        <v>#N/A</v>
      </c>
      <c r="D29" t="s">
        <v>13</v>
      </c>
      <c r="E29" t="e">
        <f>VLOOKUP(P29,[1]!Tabla1[#All],8,FALSE)</f>
        <v>#N/A</v>
      </c>
      <c r="F29" t="e">
        <f>VLOOKUP(P29,[1]!Tabla1[#All],5,FALSE)</f>
        <v>#N/A</v>
      </c>
      <c r="G29" t="e">
        <f>VLOOKUP(P29,[1]!Tabla1[#All],2,FALSE)</f>
        <v>#N/A</v>
      </c>
      <c r="H29" s="7">
        <f t="shared" si="0"/>
        <v>0</v>
      </c>
      <c r="I29" t="str">
        <f t="shared" si="1"/>
        <v xml:space="preserve">FACT </v>
      </c>
      <c r="J29" s="5" t="e">
        <f>VLOOKUP(P29,[1]!Tabla1[#All],9,FALSE)</f>
        <v>#N/A</v>
      </c>
      <c r="K29" t="str">
        <f t="shared" si="2"/>
        <v xml:space="preserve">FACT </v>
      </c>
      <c r="L29" t="str">
        <f t="shared" si="3"/>
        <v xml:space="preserve">FACT </v>
      </c>
      <c r="M29" t="str">
        <f t="shared" si="4"/>
        <v>FACT  J. PASCUAL Y FAMILIA SPA</v>
      </c>
    </row>
    <row r="30" spans="1:18" x14ac:dyDescent="0.25">
      <c r="A30">
        <v>71068862</v>
      </c>
      <c r="B30" t="s">
        <v>13</v>
      </c>
      <c r="C30" t="e">
        <f>VLOOKUP(P30,[1]!Tabla1[#All],7,FALSE)</f>
        <v>#N/A</v>
      </c>
      <c r="D30" t="s">
        <v>13</v>
      </c>
      <c r="E30" t="e">
        <f>VLOOKUP(P30,[1]!Tabla1[#All],8,FALSE)</f>
        <v>#N/A</v>
      </c>
      <c r="F30" t="e">
        <f>VLOOKUP(P30,[1]!Tabla1[#All],5,FALSE)</f>
        <v>#N/A</v>
      </c>
      <c r="G30" t="e">
        <f>VLOOKUP(P30,[1]!Tabla1[#All],2,FALSE)</f>
        <v>#N/A</v>
      </c>
      <c r="H30" s="7">
        <f t="shared" si="0"/>
        <v>0</v>
      </c>
      <c r="I30" t="str">
        <f t="shared" si="1"/>
        <v xml:space="preserve">FACT </v>
      </c>
      <c r="J30" s="5" t="e">
        <f>VLOOKUP(P30,[1]!Tabla1[#All],9,FALSE)</f>
        <v>#N/A</v>
      </c>
      <c r="K30" t="str">
        <f t="shared" si="2"/>
        <v xml:space="preserve">FACT </v>
      </c>
      <c r="L30" t="str">
        <f t="shared" si="3"/>
        <v xml:space="preserve">FACT </v>
      </c>
      <c r="M30" t="str">
        <f t="shared" si="4"/>
        <v>FACT  J. PASCUAL Y FAMILIA SPA</v>
      </c>
    </row>
    <row r="31" spans="1:18" x14ac:dyDescent="0.25">
      <c r="A31">
        <v>71068862</v>
      </c>
      <c r="B31" t="s">
        <v>13</v>
      </c>
      <c r="C31" t="e">
        <f>VLOOKUP(P31,[1]!Tabla1[#All],7,FALSE)</f>
        <v>#N/A</v>
      </c>
      <c r="D31" t="s">
        <v>13</v>
      </c>
      <c r="E31" t="e">
        <f>VLOOKUP(P31,[1]!Tabla1[#All],8,FALSE)</f>
        <v>#N/A</v>
      </c>
      <c r="F31" t="e">
        <f>VLOOKUP(P31,[1]!Tabla1[#All],5,FALSE)</f>
        <v>#N/A</v>
      </c>
      <c r="G31" t="e">
        <f>VLOOKUP(P31,[1]!Tabla1[#All],2,FALSE)</f>
        <v>#N/A</v>
      </c>
      <c r="H31" s="7">
        <f t="shared" si="0"/>
        <v>0</v>
      </c>
      <c r="I31" t="str">
        <f t="shared" si="1"/>
        <v xml:space="preserve">FACT </v>
      </c>
      <c r="J31" s="5" t="e">
        <f>VLOOKUP(P31,[1]!Tabla1[#All],9,FALSE)</f>
        <v>#N/A</v>
      </c>
      <c r="K31" t="str">
        <f t="shared" si="2"/>
        <v xml:space="preserve">FACT </v>
      </c>
      <c r="L31" t="str">
        <f t="shared" si="3"/>
        <v xml:space="preserve">FACT </v>
      </c>
      <c r="M31" t="str">
        <f t="shared" si="4"/>
        <v>FACT  J. PASCUAL Y FAMILIA SPA</v>
      </c>
    </row>
    <row r="32" spans="1:18" x14ac:dyDescent="0.25">
      <c r="A32">
        <v>71068862</v>
      </c>
      <c r="B32" t="s">
        <v>13</v>
      </c>
      <c r="C32" t="e">
        <f>VLOOKUP(P32,[1]!Tabla1[#All],7,FALSE)</f>
        <v>#N/A</v>
      </c>
      <c r="D32" t="s">
        <v>13</v>
      </c>
      <c r="E32" t="e">
        <f>VLOOKUP(P32,[1]!Tabla1[#All],8,FALSE)</f>
        <v>#N/A</v>
      </c>
      <c r="F32" t="e">
        <f>VLOOKUP(P32,[1]!Tabla1[#All],5,FALSE)</f>
        <v>#N/A</v>
      </c>
      <c r="G32" t="e">
        <f>VLOOKUP(P32,[1]!Tabla1[#All],2,FALSE)</f>
        <v>#N/A</v>
      </c>
      <c r="H32" s="7">
        <f t="shared" si="0"/>
        <v>0</v>
      </c>
      <c r="I32" t="str">
        <f t="shared" si="1"/>
        <v xml:space="preserve">FACT </v>
      </c>
      <c r="J32" s="5" t="e">
        <f>VLOOKUP(P32,[1]!Tabla1[#All],9,FALSE)</f>
        <v>#N/A</v>
      </c>
      <c r="K32" t="str">
        <f t="shared" si="2"/>
        <v xml:space="preserve">FACT </v>
      </c>
      <c r="L32" t="str">
        <f t="shared" si="3"/>
        <v xml:space="preserve">FACT </v>
      </c>
      <c r="M32" t="str">
        <f t="shared" si="4"/>
        <v>FACT  J. PASCUAL Y FAMILIA SPA</v>
      </c>
    </row>
    <row r="33" spans="1:13" x14ac:dyDescent="0.25">
      <c r="A33">
        <v>71068862</v>
      </c>
      <c r="B33" t="s">
        <v>13</v>
      </c>
      <c r="C33" t="e">
        <f>VLOOKUP(P33,[1]!Tabla1[#All],7,FALSE)</f>
        <v>#N/A</v>
      </c>
      <c r="D33" t="s">
        <v>13</v>
      </c>
      <c r="E33" t="e">
        <f>VLOOKUP(P33,[1]!Tabla1[#All],8,FALSE)</f>
        <v>#N/A</v>
      </c>
      <c r="F33" t="e">
        <f>VLOOKUP(P33,[1]!Tabla1[#All],5,FALSE)</f>
        <v>#N/A</v>
      </c>
      <c r="G33" t="e">
        <f>VLOOKUP(P33,[1]!Tabla1[#All],2,FALSE)</f>
        <v>#N/A</v>
      </c>
      <c r="H33" s="7">
        <f t="shared" si="0"/>
        <v>0</v>
      </c>
      <c r="I33" t="str">
        <f t="shared" si="1"/>
        <v xml:space="preserve">FACT </v>
      </c>
      <c r="J33" s="5" t="e">
        <f>VLOOKUP(P33,[1]!Tabla1[#All],9,FALSE)</f>
        <v>#N/A</v>
      </c>
      <c r="K33" t="str">
        <f t="shared" si="2"/>
        <v xml:space="preserve">FACT </v>
      </c>
      <c r="L33" t="str">
        <f t="shared" si="3"/>
        <v xml:space="preserve">FACT </v>
      </c>
      <c r="M33" t="str">
        <f t="shared" si="4"/>
        <v>FACT  J. PASCUAL Y FAMILIA SPA</v>
      </c>
    </row>
    <row r="34" spans="1:13" x14ac:dyDescent="0.25">
      <c r="A34">
        <v>71068862</v>
      </c>
      <c r="B34" t="s">
        <v>13</v>
      </c>
      <c r="C34" t="e">
        <f>VLOOKUP(P34,[1]!Tabla1[#All],7,FALSE)</f>
        <v>#N/A</v>
      </c>
      <c r="D34" t="s">
        <v>13</v>
      </c>
      <c r="E34" t="e">
        <f>VLOOKUP(P34,[1]!Tabla1[#All],8,FALSE)</f>
        <v>#N/A</v>
      </c>
      <c r="F34" t="e">
        <f>VLOOKUP(P34,[1]!Tabla1[#All],5,FALSE)</f>
        <v>#N/A</v>
      </c>
      <c r="G34" t="e">
        <f>VLOOKUP(P34,[1]!Tabla1[#All],2,FALSE)</f>
        <v>#N/A</v>
      </c>
      <c r="H34" s="7">
        <f t="shared" si="0"/>
        <v>0</v>
      </c>
      <c r="I34" t="str">
        <f t="shared" si="1"/>
        <v xml:space="preserve">FACT </v>
      </c>
      <c r="J34" s="5" t="e">
        <f>VLOOKUP(P34,[1]!Tabla1[#All],9,FALSE)</f>
        <v>#N/A</v>
      </c>
      <c r="K34" t="str">
        <f t="shared" si="2"/>
        <v xml:space="preserve">FACT </v>
      </c>
      <c r="L34" t="str">
        <f t="shared" si="3"/>
        <v xml:space="preserve">FACT </v>
      </c>
      <c r="M34" t="str">
        <f t="shared" si="4"/>
        <v>FACT  J. PASCUAL Y FAMILIA SPA</v>
      </c>
    </row>
    <row r="35" spans="1:13" x14ac:dyDescent="0.25">
      <c r="A35">
        <v>71068862</v>
      </c>
      <c r="B35" t="s">
        <v>13</v>
      </c>
      <c r="C35" t="e">
        <f>VLOOKUP(P35,[1]!Tabla1[#All],7,FALSE)</f>
        <v>#N/A</v>
      </c>
      <c r="D35" t="s">
        <v>13</v>
      </c>
      <c r="E35" t="e">
        <f>VLOOKUP(P35,[1]!Tabla1[#All],8,FALSE)</f>
        <v>#N/A</v>
      </c>
      <c r="F35" t="e">
        <f>VLOOKUP(P35,[1]!Tabla1[#All],5,FALSE)</f>
        <v>#N/A</v>
      </c>
      <c r="G35" t="e">
        <f>VLOOKUP(P35,[1]!Tabla1[#All],2,FALSE)</f>
        <v>#N/A</v>
      </c>
      <c r="H35" s="7">
        <f t="shared" si="0"/>
        <v>0</v>
      </c>
      <c r="I35" t="str">
        <f t="shared" si="1"/>
        <v xml:space="preserve">FACT </v>
      </c>
      <c r="J35" s="5" t="e">
        <f>VLOOKUP(P35,[1]!Tabla1[#All],9,FALSE)</f>
        <v>#N/A</v>
      </c>
      <c r="K35" t="str">
        <f t="shared" si="2"/>
        <v xml:space="preserve">FACT </v>
      </c>
      <c r="L35" t="str">
        <f t="shared" si="3"/>
        <v xml:space="preserve">FACT </v>
      </c>
      <c r="M35" t="str">
        <f t="shared" si="4"/>
        <v>FACT  J. PASCUAL Y FAMILIA SPA</v>
      </c>
    </row>
    <row r="36" spans="1:13" x14ac:dyDescent="0.25">
      <c r="A36">
        <v>71068862</v>
      </c>
      <c r="B36" t="s">
        <v>13</v>
      </c>
      <c r="C36" t="e">
        <f>VLOOKUP(P36,[1]!Tabla1[#All],7,FALSE)</f>
        <v>#N/A</v>
      </c>
      <c r="D36" t="s">
        <v>13</v>
      </c>
      <c r="E36" t="e">
        <f>VLOOKUP(P36,[1]!Tabla1[#All],8,FALSE)</f>
        <v>#N/A</v>
      </c>
      <c r="F36" t="e">
        <f>VLOOKUP(P36,[1]!Tabla1[#All],5,FALSE)</f>
        <v>#N/A</v>
      </c>
      <c r="G36" t="e">
        <f>VLOOKUP(P36,[1]!Tabla1[#All],2,FALSE)</f>
        <v>#N/A</v>
      </c>
      <c r="H36" s="7">
        <f t="shared" si="0"/>
        <v>0</v>
      </c>
      <c r="I36" t="str">
        <f t="shared" si="1"/>
        <v xml:space="preserve">FACT </v>
      </c>
      <c r="J36" s="5" t="e">
        <f>VLOOKUP(P36,[1]!Tabla1[#All],9,FALSE)</f>
        <v>#N/A</v>
      </c>
      <c r="K36" t="str">
        <f t="shared" si="2"/>
        <v xml:space="preserve">FACT </v>
      </c>
      <c r="L36" t="str">
        <f t="shared" si="3"/>
        <v xml:space="preserve">FACT </v>
      </c>
      <c r="M36" t="str">
        <f t="shared" si="4"/>
        <v>FACT  J. PASCUAL Y FAMILIA SPA</v>
      </c>
    </row>
    <row r="37" spans="1:13" x14ac:dyDescent="0.25">
      <c r="A37">
        <v>71068862</v>
      </c>
      <c r="B37" t="s">
        <v>13</v>
      </c>
      <c r="C37" t="e">
        <f>VLOOKUP(P37,[1]!Tabla1[#All],7,FALSE)</f>
        <v>#N/A</v>
      </c>
      <c r="D37" t="s">
        <v>13</v>
      </c>
      <c r="E37" t="e">
        <f>VLOOKUP(P37,[1]!Tabla1[#All],8,FALSE)</f>
        <v>#N/A</v>
      </c>
      <c r="F37" t="e">
        <f>VLOOKUP(P37,[1]!Tabla1[#All],5,FALSE)</f>
        <v>#N/A</v>
      </c>
      <c r="G37" t="e">
        <f>VLOOKUP(P37,[1]!Tabla1[#All],2,FALSE)</f>
        <v>#N/A</v>
      </c>
      <c r="H37" s="7">
        <f t="shared" si="0"/>
        <v>0</v>
      </c>
      <c r="I37" t="str">
        <f t="shared" si="1"/>
        <v xml:space="preserve">FACT </v>
      </c>
      <c r="J37" s="5" t="e">
        <f>VLOOKUP(P37,[1]!Tabla1[#All],9,FALSE)</f>
        <v>#N/A</v>
      </c>
      <c r="K37" t="str">
        <f t="shared" si="2"/>
        <v xml:space="preserve">FACT </v>
      </c>
      <c r="L37" t="str">
        <f t="shared" si="3"/>
        <v xml:space="preserve">FACT </v>
      </c>
      <c r="M37" t="str">
        <f t="shared" si="4"/>
        <v>FACT  J. PASCUAL Y FAMILIA SPA</v>
      </c>
    </row>
    <row r="38" spans="1:13" x14ac:dyDescent="0.25">
      <c r="A38">
        <v>71068862</v>
      </c>
      <c r="B38" t="s">
        <v>13</v>
      </c>
      <c r="C38" t="e">
        <f>VLOOKUP(P38,[1]!Tabla1[#All],7,FALSE)</f>
        <v>#N/A</v>
      </c>
      <c r="D38" t="s">
        <v>13</v>
      </c>
      <c r="E38" t="e">
        <f>VLOOKUP(P38,[1]!Tabla1[#All],8,FALSE)</f>
        <v>#N/A</v>
      </c>
      <c r="F38" t="e">
        <f>VLOOKUP(P38,[1]!Tabla1[#All],5,FALSE)</f>
        <v>#N/A</v>
      </c>
      <c r="G38" t="e">
        <f>VLOOKUP(P38,[1]!Tabla1[#All],2,FALSE)</f>
        <v>#N/A</v>
      </c>
      <c r="H38" s="7">
        <f t="shared" si="0"/>
        <v>0</v>
      </c>
      <c r="I38" t="str">
        <f t="shared" si="1"/>
        <v xml:space="preserve">FACT </v>
      </c>
      <c r="J38" s="5" t="e">
        <f>VLOOKUP(P38,[1]!Tabla1[#All],9,FALSE)</f>
        <v>#N/A</v>
      </c>
      <c r="K38" t="str">
        <f t="shared" si="2"/>
        <v xml:space="preserve">FACT </v>
      </c>
      <c r="L38" t="str">
        <f t="shared" si="3"/>
        <v xml:space="preserve">FACT </v>
      </c>
      <c r="M38" t="str">
        <f t="shared" si="4"/>
        <v>FACT  J. PASCUAL Y FAMILIA SPA</v>
      </c>
    </row>
    <row r="39" spans="1:13" x14ac:dyDescent="0.25">
      <c r="A39">
        <v>71068862</v>
      </c>
      <c r="B39" t="s">
        <v>13</v>
      </c>
      <c r="C39" t="e">
        <f>VLOOKUP(P39,[1]!Tabla1[#All],7,FALSE)</f>
        <v>#N/A</v>
      </c>
      <c r="D39" t="s">
        <v>13</v>
      </c>
      <c r="E39" t="e">
        <f>VLOOKUP(P39,[1]!Tabla1[#All],8,FALSE)</f>
        <v>#N/A</v>
      </c>
      <c r="F39" t="e">
        <f>VLOOKUP(P39,[1]!Tabla1[#All],5,FALSE)</f>
        <v>#N/A</v>
      </c>
      <c r="G39" t="e">
        <f>VLOOKUP(P39,[1]!Tabla1[#All],2,FALSE)</f>
        <v>#N/A</v>
      </c>
      <c r="H39" s="7">
        <f t="shared" si="0"/>
        <v>0</v>
      </c>
      <c r="I39" t="str">
        <f t="shared" si="1"/>
        <v xml:space="preserve">FACT </v>
      </c>
      <c r="J39" s="5" t="e">
        <f>VLOOKUP(P39,[1]!Tabla1[#All],9,FALSE)</f>
        <v>#N/A</v>
      </c>
      <c r="K39" t="str">
        <f t="shared" si="2"/>
        <v xml:space="preserve">FACT </v>
      </c>
      <c r="L39" t="str">
        <f t="shared" si="3"/>
        <v xml:space="preserve">FACT </v>
      </c>
      <c r="M39" t="str">
        <f t="shared" si="4"/>
        <v>FACT  J. PASCUAL Y FAMILIA SPA</v>
      </c>
    </row>
  </sheetData>
  <autoFilter ref="A1:M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2025-07-29T20:25:56Z</dcterms:modified>
</cp:coreProperties>
</file>